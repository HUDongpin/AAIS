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 Register" sheetId="2" state="visible" r:id="rId4"/>
    <sheet name="Backlog Tickets" sheetId="3" state="visible" r:id="rId5"/>
    <sheet name="3-Month Roadmap" sheetId="4" state="visible" r:id="rId6"/>
    <sheet name="Readiness Checklist" sheetId="5" state="visible" r:id="rId7"/>
  </sheets>
  <definedNames>
    <definedName function="false" hidden="true" localSheetId="2" name="_xlnm._FilterDatabase" vbProcedure="false">'Backlog Tickets'!$A$4:$J$26</definedName>
    <definedName function="false" hidden="true" localSheetId="1" name="_xlnm._FilterDatabase" vbProcedure="false">'Issues Register'!$A$4:$L$26</definedName>
    <definedName function="false" hidden="true" localSheetId="4" name="_xlnm._FilterDatabase" vbProcedure="false">'Readiness Checklist'!$A$4:$E$33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<sst xmlns="http://schemas.openxmlformats.org/spreadsheetml/2006/main" count="722" uniqueCount="400">
  <si>
    <t xml:space="preserve">AAIS Technical Review — Tracker Summary</t>
  </si>
  <si>
    <t xml:space="preserve">Live counts driven by the other sheets. Update Status columns there; this page recalculates.</t>
  </si>
  <si>
    <t xml:space="preserve">Issues by severity</t>
  </si>
  <si>
    <t xml:space="preserve">Count</t>
  </si>
  <si>
    <t xml:space="preserve">Open</t>
  </si>
  <si>
    <t xml:space="preserve">Done</t>
  </si>
  <si>
    <t xml:space="preserve">Critical</t>
  </si>
  <si>
    <t xml:space="preserve">High*</t>
  </si>
  <si>
    <t xml:space="preserve">Medium*</t>
  </si>
  <si>
    <t xml:space="preserve">Low*</t>
  </si>
  <si>
    <t xml:space="preserve">Total issues</t>
  </si>
  <si>
    <t xml:space="preserve">Backlog by priority</t>
  </si>
  <si>
    <t xml:space="preserve">Tickets</t>
  </si>
  <si>
    <t xml:space="preserve">P0</t>
  </si>
  <si>
    <t xml:space="preserve">P1</t>
  </si>
  <si>
    <t xml:space="preserve">P2</t>
  </si>
  <si>
    <t xml:space="preserve">P3</t>
  </si>
  <si>
    <t xml:space="preserve">Readiness checklist</t>
  </si>
  <si>
    <t xml:space="preserve">Items</t>
  </si>
  <si>
    <t xml:space="preserve">TODO</t>
  </si>
  <si>
    <t xml:space="preserve">All categories</t>
  </si>
  <si>
    <t xml:space="preserve">Top 3 actions this week</t>
  </si>
  <si>
    <t xml:space="preserve">1. Rotate every key in 'All API Keys.docx', then delete it (T-01).</t>
  </si>
  <si>
    <t xml:space="preserve">2. Disable Bobie/Phoebe demo logins in production (T-02).</t>
  </si>
  <si>
    <t xml:space="preserve">3. Push the repository to a private GitHub with protected main (T-03).</t>
  </si>
  <si>
    <t xml:space="preserve">AAIS Issues Register (ranked by severity, then urgency)</t>
  </si>
  <si>
    <t xml:space="preserve">AAIS Technical Review — July 8, 2026 · companion to AAIS-Technical-Review-Report.docx</t>
  </si>
  <si>
    <t xml:space="preserve">ID</t>
  </si>
  <si>
    <t xml:space="preserve">Issue</t>
  </si>
  <si>
    <t xml:space="preserve">Area</t>
  </si>
  <si>
    <t xml:space="preserve">Severity</t>
  </si>
  <si>
    <t xml:space="preserve">Evidence / symptom</t>
  </si>
  <si>
    <t xml:space="preserve">Why it matters</t>
  </si>
  <si>
    <t xml:space="preserve">Risk if ignored</t>
  </si>
  <si>
    <t xml:space="preserve">Recommended fix</t>
  </si>
  <si>
    <t xml:space="preserve">Effort</t>
  </si>
  <si>
    <t xml:space="preserve">Suggested owner</t>
  </si>
  <si>
    <t xml:space="preserve">Priority (3-mo)</t>
  </si>
  <si>
    <t xml:space="preserve">Status</t>
  </si>
  <si>
    <t xml:space="preserve">ISS-01</t>
  </si>
  <si>
    <t xml:space="preserve">Hardcoded demo accounts active in production (Bobie/Phoebe, password 12345)</t>
  </si>
  <si>
    <t xml:space="preserve">Security / Auth</t>
  </si>
  <si>
    <t xml:space="preserve">src/lib/server/aais-trial-accounts.ts lines 45–58 define built-in accounts with password '12345'; mergeConfiguredAccountsWithBuiltInLearners() always prepends them to configured production accounts. Login confirmed working on www.aais.site.</t>
  </si>
  <si>
    <t xml:space="preserve">These credentials are effectively public (shared in docs/conversations). Anyone can enter the platform as a student.</t>
  </si>
  <si>
    <t xml:space="preserve">Strangers write junk learner data, consume paid AI tokens, and any future real-student data is exposed; reputational damage with pilot schools.</t>
  </si>
  <si>
    <t xml:space="preserve">Gate built-in accounts to non-production builds; rotate every configured trial password to strong generated values; redeploy; verify old login fails.</t>
  </si>
  <si>
    <t xml:space="preserve">S</t>
  </si>
  <si>
    <t xml:space="preserve">Junior dev</t>
  </si>
  <si>
    <t xml:space="preserve">Week 1</t>
  </si>
  <si>
    <t xml:space="preserve">ISS-02</t>
  </si>
  <si>
    <t xml:space="preserve">No git remote — source code exists only on one laptop; CI never runs</t>
  </si>
  <si>
    <t xml:space="preserve">DevOps / Workflow</t>
  </si>
  <si>
    <t xml:space="preserve">`git remote -v` is empty; single branch codex/aais-enterprise-standard; .github/workflows/ci.yml triggers on main/PRs, which do not exist.</t>
  </si>
  <si>
    <t xml:space="preserve">The production site's source has no backup and no review/quality gate.</t>
  </si>
  <si>
    <t xml:space="preserve">Laptop loss, failure, or theft permanently destroys source history; deploys remain unauditable.</t>
  </si>
  <si>
    <t xml:space="preserve">Create private GitHub repo; push full history; protect main; connect Vercel Git integration; verify CI green on a test PR.</t>
  </si>
  <si>
    <t xml:space="preserve">ISS-03</t>
  </si>
  <si>
    <t xml:space="preserve">Plaintext credentials file 'All API Keys.docx' in the project folder</t>
  </si>
  <si>
    <t xml:space="preserve">Security / Secrets</t>
  </si>
  <si>
    <t xml:space="preserve">16KB docx at repo root containing sk-style keys and passwords (DeepSeek, SimpleTex, Mathpix, Resend, more). agents.md explicitly sanctions the file for AI-assisted work.</t>
  </si>
  <si>
    <t xml:space="preserve">A single sync, backup, screen-share, or tool upload leaks every provider credential at once.</t>
  </si>
  <si>
    <t xml:space="preserve">Provider abuse billed to the owner; account takeovers; forced emergency rotation later under worse conditions.</t>
  </si>
  <si>
    <t xml:space="preserve">Move all secrets to a password manager; rotate every key present in the file at each provider; delete the file; update agents.md guidance.</t>
  </si>
  <si>
    <t xml:space="preserve">Product owner + junior</t>
  </si>
  <si>
    <t xml:space="preserve">ISS-04</t>
  </si>
  <si>
    <t xml:space="preserve">Learner state stored as one JSONB blob per student; concurrent writes lose data</t>
  </si>
  <si>
    <t xml:space="preserve">Data model</t>
  </si>
  <si>
    <t xml:space="preserve">High</t>
  </si>
  <si>
    <t xml:space="preserve">Table aais_learner_sessions(student_id PK, payload jsonb); every action does read-modify-write of the whole blob (aais-learning-store.ts writeSession); no version check or locking; events array grows without bound.</t>
  </si>
  <si>
    <t xml:space="preserve">Autosave + AI chat + a second tab run concurrently in normal use; last write wins over the entire learner history.</t>
  </si>
  <si>
    <t xml:space="preserve">Silent loss of student work and evidence events; rows grow to MBs; analytics and exports degrade then fail.</t>
  </si>
  <si>
    <t xml:space="preserve">Interim (Weeks 3–4): version column + compare-and-swap with retry. Month 2: move events to append-only aais_events table + slim learner_task_state snapshot; backfill; dual-read one release.</t>
  </si>
  <si>
    <t xml:space="preserve">M</t>
  </si>
  <si>
    <t xml:space="preserve">Senior (design) + junior (impl)</t>
  </si>
  <si>
    <t xml:space="preserve">Weeks 2–6</t>
  </si>
  <si>
    <t xml:space="preserve">ISS-05</t>
  </si>
  <si>
    <t xml:space="preserve">No staging environment; no schema migration tooling</t>
  </si>
  <si>
    <t xml:space="preserve">DevOps / Data</t>
  </si>
  <si>
    <t xml:space="preserve">Only production in .vercel/project.json; CREATE TABLE IF NOT EXISTS executed at runtime; restore rehearsal is a manual runbook procedure.</t>
  </si>
  <si>
    <t xml:space="preserve">Every schema or code change is first tested on live users; restores are untested under pressure.</t>
  </si>
  <si>
    <t xml:space="preserve">A bad deploy or migration corrupts production data with no rehearsed recovery.</t>
  </si>
  <si>
    <t xml:space="preserve">Vercel preview env + seeded Neon branch as staging; adopt node-pg-migrate (or equal); migration 001 formalizes existing tables; delete runtime DDL.</t>
  </si>
  <si>
    <t xml:space="preserve">Junior dev (senior review)</t>
  </si>
  <si>
    <t xml:space="preserve">Weeks 2–4</t>
  </si>
  <si>
    <t xml:space="preserve">ISS-06</t>
  </si>
  <si>
    <t xml:space="preserve">Public /api/system/readiness endpoint discloses internals</t>
  </si>
  <si>
    <t xml:space="preserve">Security / API</t>
  </si>
  <si>
    <t xml:space="preserve">Medium</t>
  </si>
  <si>
    <t xml:space="preserve">Live fetch on 2026-07-08 returned release id, deployment git SHA, storage provider, trial account count, LRS outbox metrics, AI timeout/token config, and admin endpoint paths — no auth required.</t>
  </si>
  <si>
    <t xml:space="preserve">Hands an attacker a map of the system; combined with ISS-01 it is a guided tour.</t>
  </si>
  <si>
    <t xml:space="preserve">Easier targeted attacks; information leakage grows as the report grows.</t>
  </si>
  <si>
    <t xml:space="preserve">Public GET returns bare {status}; full report requires admin session or bearer token.</t>
  </si>
  <si>
    <t xml:space="preserve">Weeks 1–2</t>
  </si>
  <si>
    <t xml:space="preserve">ISS-07</t>
  </si>
  <si>
    <t xml:space="preserve">Login rate limiting is in-memory — ineffective on serverless</t>
  </si>
  <si>
    <t xml:space="preserve">aais-auth-rate-limit.ts keeps a Map in module scope; Vercel serverless instances neither share memory nor persist between invocations.</t>
  </si>
  <si>
    <t xml:space="preserve">The documented '5 failures = 15-min lock' protection does not actually hold in production.</t>
  </si>
  <si>
    <t xml:space="preserve">Practical brute-force/credential-stuffing against static passwords (worsened by ISS-01/ISS-08).</t>
  </si>
  <si>
    <t xml:space="preserve">Move counters to Postgres or Upstash Redis keyed by account+IP; optionally add platform WAF rate rules.</t>
  </si>
  <si>
    <t xml:space="preserve">S–M</t>
  </si>
  <si>
    <t xml:space="preserve">Month 2</t>
  </si>
  <si>
    <t xml:space="preserve">ISS-08</t>
  </si>
  <si>
    <t xml:space="preserve">No real user model (no registration, invites, password reset, user table)</t>
  </si>
  <si>
    <t xml:space="preserve">Product / Auth</t>
  </si>
  <si>
    <t xml:space="preserve">Accounts exist only in AAIS_TRIAL_ACCOUNTS_JSON env var; changing a password requires a redeploy; teachers/admins use static credentials; OIDC exists in code but is unconfigured (live readiness: oidc.mode=missing).</t>
  </si>
  <si>
    <t xml:space="preserve">Cannot onboard a real class; no self-service recovery; admin/teacher compromise is likely and unauditable per person.</t>
  </si>
  <si>
    <t xml:space="preserve">The product cannot leave demo stage; every user operation becomes a developer task.</t>
  </si>
  <si>
    <t xml:space="preserve">users table + invite-based registration + password reset via Resend (key already owned); individual staff accounts; keep OIDC optional for institutions.</t>
  </si>
  <si>
    <t xml:space="preserve">L</t>
  </si>
  <si>
    <t xml:space="preserve">Senior + junior</t>
  </si>
  <si>
    <t xml:space="preserve">ISS-09</t>
  </si>
  <si>
    <t xml:space="preserve">Frontend monolith: learning-page.tsx is 2,269 lines with 21 useState hooks</t>
  </si>
  <si>
    <t xml:space="preserve">Code quality</t>
  </si>
  <si>
    <t xml:space="preserve">Single client component contains chat, editor, task list, attachments, autosave, export, and navigation; 4 fetch call sites; no extracted API client.</t>
  </si>
  <si>
    <t xml:space="preserve">No new developer can safely change one feature; component-level testing is impossible.</t>
  </si>
  <si>
    <t xml:space="preserve">Every UI change risks regressions across all flows; velocity collapses as features are added.</t>
  </si>
  <si>
    <t xml:space="preserve">Extract a typed API client; split into ~6 feature components + custom hooks; incremental, behavior-preserving, protected by E2E tests.</t>
  </si>
  <si>
    <t xml:space="preserve">ISS-10</t>
  </si>
  <si>
    <t xml:space="preserve">Release-evidence machinery outweighs the product and fails its own gate</t>
  </si>
  <si>
    <t xml:space="preserve">Codebase / Process</t>
  </si>
  <si>
    <t xml:space="preserve">22 scripts in scripts/, ~20 test files for them, 64KB README of ceremony commands; output/aais-enterprise-release-check-latest.json (2026-07-01) shows status=failed on all 5 steps while production ships anyway.</t>
  </si>
  <si>
    <t xml:space="preserve">Maintenance drag and false confidence; the ceremony is treated as optional, so it protects nothing while consuming attention.</t>
  </si>
  <si>
    <t xml:space="preserve">New engineers are intimidated/misled; real quality signals stay buried; CI time wasted.</t>
  </si>
  <si>
    <t xml:space="preserve">Archive to tools/release-legacy (kept in git history); keep one smoke:prod script + a one-page release checklist.</t>
  </si>
  <si>
    <t xml:space="preserve">Weeks 3–4</t>
  </si>
  <si>
    <t xml:space="preserve">ISS-11</t>
  </si>
  <si>
    <t xml:space="preserve">LangGraph claimed but never used; misleading runtime labels</t>
  </si>
  <si>
    <t xml:space="preserve">Codebase / Honesty</t>
  </si>
  <si>
    <t xml:space="preserve">Low–Medium</t>
  </si>
  <si>
    <t xml:space="preserve">@langchain/langgraph in dependencies with zero imports anywhere in src; orchestration is Promise.all; API responses report engine 'aais-langgraph-runtime' and runtime 'langgraph'.</t>
  </si>
  <si>
    <t xml:space="preserve">Misleads future engineers, stakeholders, and any technical due-diligence.</t>
  </si>
  <si>
    <t xml:space="preserve">Wasted debugging of a framework that isn't there; credibility damage when discovered externally.</t>
  </si>
  <si>
    <t xml:space="preserve">Remove the dependency; rename labels to something honest (e.g., aais-orchestrator-v1); or actually adopt LangGraph when a real graph exists.</t>
  </si>
  <si>
    <t xml:space="preserve">ISS-12</t>
  </si>
  <si>
    <t xml:space="preserve">AI layer overstates itself (A3/A4 canned; 180-token cap; 0 retries; silent fallback)</t>
  </si>
  <si>
    <t xml:space="preserve">Product / AI</t>
  </si>
  <si>
    <t xml:space="preserve">aais-learning-guide-graph.ts always assigns A3/A4 the deterministic template provider; live readiness shows maxTokens:180, maxRetries:0; provider failure silently returns template text presented as agent output.</t>
  </si>
  <si>
    <t xml:space="preserve">Students receive truncated or canned guidance while the product claims adaptive multi-agent AI; teachers can't tell live from fallback.</t>
  </si>
  <si>
    <t xml:space="preserve">Pedagogical claims become indefensible; user trust erodes when the gap is noticed.</t>
  </si>
  <si>
    <t xml:space="preserve">Product owner defines the honest scope; raise token budget (~600) and add 1 retry; label fallback/template responses in the UI; consider one contextual model call instead of the fan-out.</t>
  </si>
  <si>
    <t xml:space="preserve">Product owner + senior</t>
  </si>
  <si>
    <t xml:space="preserve">Months 2–3</t>
  </si>
  <si>
    <t xml:space="preserve">ISS-13</t>
  </si>
  <si>
    <t xml:space="preserve">No error tracking, alerting, or uptime monitoring</t>
  </si>
  <si>
    <t xml:space="preserve">Observability</t>
  </si>
  <si>
    <t xml:space="preserve">Only console.info JSON audit lines into Vercel logs; no Sentry/equivalent; no uptime checks; cron flush failures invisible.</t>
  </si>
  <si>
    <t xml:space="preserve">Production breakage is discovered by users; diagnosis means scrolling function logs.</t>
  </si>
  <si>
    <t xml:space="preserve">Longer outages, lost pilot goodwill, undiagnosable intermittent bugs.</t>
  </si>
  <si>
    <t xml:space="preserve">Add Sentry (client+server) with release tags; uptime monitor on /login; alert on cron failure and error-rate spikes.</t>
  </si>
  <si>
    <t xml:space="preserve">ISS-14</t>
  </si>
  <si>
    <t xml:space="preserve">No end-to-end tests of real user flows</t>
  </si>
  <si>
    <t xml:space="preserve">Testing</t>
  </si>
  <si>
    <t xml:space="preserve">44 Vitest files, roughly half covering release scripts; component tests exist, but no browser E2E specs in the repo (.playwright-cli is only a tool cache).</t>
  </si>
  <si>
    <t xml:space="preserve">The Month-2 refactors (data layer, frontend split) have no behavioral safety net.</t>
  </si>
  <si>
    <t xml:space="preserve">Refactors silently break login/learning/dashboard; regressions ship.</t>
  </si>
  <si>
    <t xml:space="preserve">6–8 Playwright specs: login ok/fail, task flow + persistence, AI guide + labeled fallback, dashboard access control, export; run in CI against preview deploys.</t>
  </si>
  <si>
    <t xml:space="preserve">Month 2 (start Wk 3–4)</t>
  </si>
  <si>
    <t xml:space="preserve">ISS-15</t>
  </si>
  <si>
    <t xml:space="preserve">Cohort analytics loads every learner blob into memory per request</t>
  </si>
  <si>
    <t xml:space="preserve">Performance</t>
  </si>
  <si>
    <t xml:space="preserve">Medium→High</t>
  </si>
  <si>
    <t xml:space="preserve">getCohortAnalytics() calls readAllSessions() (SELECT all payloads) then aggregates in JS on every dashboard request.</t>
  </si>
  <si>
    <t xml:space="preserve">Cost grows linearly with students × per-student history; serverless memory/time limits are fixed.</t>
  </si>
  <si>
    <t xml:space="preserve">At a few hundred active students: multi-second dashboards, then OOM/timeouts; export breaks first.</t>
  </si>
  <si>
    <t xml:space="preserve">After ISS-04: compute aggregates in SQL over aais_events with proper indexes; paginate learner drill-down.</t>
  </si>
  <si>
    <t xml:space="preserve">Senior engineer</t>
  </si>
  <si>
    <t xml:space="preserve">ISS-16</t>
  </si>
  <si>
    <t xml:space="preserve">Education-privacy baseline missing (consent, retention, deletion, DPAs)</t>
  </si>
  <si>
    <t xml:space="preserve">Privacy / Compliance</t>
  </si>
  <si>
    <t xml:space="preserve">High (gates real users)</t>
  </si>
  <si>
    <t xml:space="preserve">/privacy page exists, but there is no per-user export/delete, no retention policy, no data inventory; Neon/LRS data-processing terms and regions unverified; audience likely includes minors.</t>
  </si>
  <si>
    <t xml:space="preserve">Education data is regulated (FERPA/COPPA/GDPR/PIPL depending on region); schools will ask and there is no answer.</t>
  </si>
  <si>
    <t xml:space="preserve">Legal exposure; pilot rejections; emergency compliance work later at 10x cost.</t>
  </si>
  <si>
    <t xml:space="preserve">Data inventory; retention policy; per-user export + delete endpoints; consent flow for minors; confirm Neon/LRS DPAs and regions. Must complete before any real cohort.</t>
  </si>
  <si>
    <t xml:space="preserve">Month 3 (gate)</t>
  </si>
  <si>
    <t xml:space="preserve">ISS-17</t>
  </si>
  <si>
    <t xml:space="preserve">Sessions not revocable server-side; logout only clears the cookie</t>
  </si>
  <si>
    <t xml:space="preserve">Stateless HMAC token remains valid for its full 8h TTL regardless of logout; no denylist or session table.</t>
  </si>
  <si>
    <t xml:space="preserve">A leaked/stolen token cannot be killed.</t>
  </si>
  <si>
    <t xml:space="preserve">Extended unauthorized access after a compromise; no forced-logout capability.</t>
  </si>
  <si>
    <t xml:space="preserve">Acceptable short-term; later add session ids + denylist or DB-backed sessions; rotate the session secret to invalidate everything if needed.</t>
  </si>
  <si>
    <t xml:space="preserve">Month 3</t>
  </si>
  <si>
    <t xml:space="preserve">ISS-18</t>
  </si>
  <si>
    <t xml:space="preserve">CSP allows unsafe-inline and unsafe-eval</t>
  </si>
  <si>
    <t xml:space="preserve">Security / Headers</t>
  </si>
  <si>
    <t xml:space="preserve">Low</t>
  </si>
  <si>
    <t xml:space="preserve">next.config.ts sets script-src 'self' 'unsafe-inline' 'unsafe-eval'.</t>
  </si>
  <si>
    <t xml:space="preserve">Weakens the main mitigation against XSS.</t>
  </si>
  <si>
    <t xml:space="preserve">Any XSS foothold escalates more easily.</t>
  </si>
  <si>
    <t xml:space="preserve">Move to nonce-based CSP; drop unsafe-eval for production builds.</t>
  </si>
  <si>
    <t xml:space="preserve">ISS-19</t>
  </si>
  <si>
    <t xml:space="preserve">Accessibility and responsiveness gaps</t>
  </si>
  <si>
    <t xml:space="preserve">Frontend / UX</t>
  </si>
  <si>
    <t xml:space="preserve">globals.css is 120 lines with a single @media query; aria attribute counts: learning 51, login 4, teacher dashboard 1; desktop-oriented cockpit layout.</t>
  </si>
  <si>
    <t xml:space="preserve">Phone-first students and assistive-tech users are excluded; schools often have accessibility requirements.</t>
  </si>
  <si>
    <t xml:space="preserve">Pilot users bounce on mobile; procurement blockers later.</t>
  </si>
  <si>
    <t xml:space="preserve">axe + keyboard audit; fix top violations on the 3 core screens; explicitly state the mobile policy (support it or message it).</t>
  </si>
  <si>
    <t xml:space="preserve">Designer + junior dev</t>
  </si>
  <si>
    <t xml:space="preserve">ISS-20</t>
  </si>
  <si>
    <t xml:space="preserve">Documentation unusable for onboarding</t>
  </si>
  <si>
    <t xml:space="preserve">Docs / Workflow</t>
  </si>
  <si>
    <t xml:space="preserve">README.md is 64KB (274 very long lines) of enterprise release commands; no setup guide beyond npm ci; agents.md describes a fictional 11-role team; single ops runbook is release-ceremony-centric.</t>
  </si>
  <si>
    <t xml:space="preserve">A new engineer cannot get productive without the original author.</t>
  </si>
  <si>
    <t xml:space="preserve">Bus factor stays 1; every hire burns days; knowledge stays trapped.</t>
  </si>
  <si>
    <t xml:space="preserve">Rewrite docs set: 1-page README, ARCHITECTURE.md, OPERATIONS.md (deploy/rollback/restore), CONTRIBUTING.md; archive the old README.</t>
  </si>
  <si>
    <t xml:space="preserve">ISS-21</t>
  </si>
  <si>
    <t xml:space="preserve">Fake streaming: SSE buffers the whole AI response, then replays it</t>
  </si>
  <si>
    <t xml:space="preserve">Backend / UX</t>
  </si>
  <si>
    <t xml:space="preserve">createGuideStreamResponse() awaits the full multi-agent run before emitting SSE events; with a 30s provider timeout students may wait ~30s with no output.</t>
  </si>
  <si>
    <t xml:space="preserve">Perceived as broken; students abandon the guide mid-task.</t>
  </si>
  <si>
    <t xml:space="preserve">Core feature feels unreliable; support burden.</t>
  </si>
  <si>
    <t xml:space="preserve">Stream provider tokens through, or send honest staged progress events + timeout messaging.</t>
  </si>
  <si>
    <t xml:space="preserve">ISS-22</t>
  </si>
  <si>
    <t xml:space="preserve">Raw internal error messages returned to API clients</t>
  </si>
  <si>
    <t xml:space="preserve">API design</t>
  </si>
  <si>
    <t xml:space="preserve">Most routes return error.message verbatim (e.g., 'Task X is locked', storage errors).</t>
  </si>
  <si>
    <t xml:space="preserve">Leaks internals; inconsistent, untranslated user-facing copy.</t>
  </si>
  <si>
    <t xml:space="preserve">Minor information disclosure; confusing UX.</t>
  </si>
  <si>
    <t xml:space="preserve">Stable {error:{code,message}} contract; map internals to safe messages; log details server-side.</t>
  </si>
  <si>
    <t xml:space="preserve">AAIS Engineering Backlog — next 3 months (P0=Wk1–2, P1=Wk3–4, P2=Month 2, P3=Month 3)</t>
  </si>
  <si>
    <t xml:space="preserve">Ticket</t>
  </si>
  <si>
    <t xml:space="preserve">Title</t>
  </si>
  <si>
    <t xml:space="preserve">Description</t>
  </si>
  <si>
    <t xml:space="preserve">Acceptance criteria</t>
  </si>
  <si>
    <t xml:space="preserve">Priority</t>
  </si>
  <si>
    <t xml:space="preserve">Roadmap phase</t>
  </si>
  <si>
    <t xml:space="preserve">Linked issue(s)</t>
  </si>
  <si>
    <t xml:space="preserve">T-01</t>
  </si>
  <si>
    <t xml:space="preserve">Rotate and re-home all credentials</t>
  </si>
  <si>
    <t xml:space="preserve">Rotate every key/password in 'All API Keys.docx' at each provider; store in a password manager; delete the file; amend agents.md.</t>
  </si>
  <si>
    <t xml:space="preserve">Old keys revoked and fail; file gone from disk; password-manager entries exist; no plaintext secrets in the folder besides documented .env.local.</t>
  </si>
  <si>
    <t xml:space="preserve">Owner + junior</t>
  </si>
  <si>
    <t xml:space="preserve">T-02</t>
  </si>
  <si>
    <t xml:space="preserve">Disable built-in demo accounts in production</t>
  </si>
  <si>
    <t xml:space="preserve">Gate builtInLearnerTrialAccounts to non-production; rotate all configured trial passwords.</t>
  </si>
  <si>
    <t xml:space="preserve">Bobie/12345 returns 401 on www.aais.site; dev login still works locally; unit test asserts production exclusion.</t>
  </si>
  <si>
    <t xml:space="preserve">T-03</t>
  </si>
  <si>
    <t xml:space="preserve">Push repo to GitHub with protected main + working CI</t>
  </si>
  <si>
    <t xml:space="preserve">Private repo, full history, main as protected default branch, Vercel Git integration.</t>
  </si>
  <si>
    <t xml:space="preserve">CI green on a test PR; merge to main triggers Vercel deploy; direct CLI prod deploys stopped and documented.</t>
  </si>
  <si>
    <t xml:space="preserve">T-04</t>
  </si>
  <si>
    <t xml:space="preserve">Minimal-disclosure readiness endpoint</t>
  </si>
  <si>
    <t xml:space="preserve">Public GET returns {status} only; full report requires admin session or bearer token.</t>
  </si>
  <si>
    <t xml:space="preserve">Anonymous fetch shows no release id/SHA/config; authorized fetch unchanged; tests cover both paths.</t>
  </si>
  <si>
    <t xml:space="preserve">T-05</t>
  </si>
  <si>
    <t xml:space="preserve">Error tracking + uptime + cron alerts</t>
  </si>
  <si>
    <t xml:space="preserve">Sentry for client and server with release tags; uptime monitor on /login; alert on cron flush failure.</t>
  </si>
  <si>
    <t xml:space="preserve">Test error visible in Sentry; downtime and cron failure each trigger a notification to a human.</t>
  </si>
  <si>
    <t xml:space="preserve">T-06</t>
  </si>
  <si>
    <t xml:space="preserve">Staging environment + documented env vars</t>
  </si>
  <si>
    <t xml:space="preserve">Vercel preview environment + seeded Neon branch; .env.example covering local/staging/prod.</t>
  </si>
  <si>
    <t xml:space="preserve">Staging URL loads with seed data; deploy-to-staging documented; prod secrets not reused where separable.</t>
  </si>
  <si>
    <t xml:space="preserve">P0/P1</t>
  </si>
  <si>
    <t xml:space="preserve">Weeks 1–4</t>
  </si>
  <si>
    <t xml:space="preserve">T-07</t>
  </si>
  <si>
    <t xml:space="preserve">Verify backups and rehearse restore</t>
  </si>
  <si>
    <t xml:space="preserve">Confirm Neon plan PITR/snapshot capability in writing; take snapshot; restore to a branch; document in OPERATIONS.md.</t>
  </si>
  <si>
    <t xml:space="preserve">Written restore procedure with actual timings; snapshot schedule decided and enabled.</t>
  </si>
  <si>
    <t xml:space="preserve">Junior + owner</t>
  </si>
  <si>
    <t xml:space="preserve">T-08</t>
  </si>
  <si>
    <t xml:space="preserve">Optimistic locking on learner-session writes</t>
  </si>
  <si>
    <t xml:space="preserve">Add version column; compare-and-swap update; single retry with merge-or-fail semantics.</t>
  </si>
  <si>
    <t xml:space="preserve">Parallel-write race test (two simultaneous saves) loses no data; conflict metric logged.</t>
  </si>
  <si>
    <t xml:space="preserve">T-09</t>
  </si>
  <si>
    <t xml:space="preserve">Migration framework + baseline migration</t>
  </si>
  <si>
    <t xml:space="preserve">Adopt node-pg-migrate (or equivalent); migration 001 formalizes the two existing tables; remove runtime CREATE TABLE.</t>
  </si>
  <si>
    <t xml:space="preserve">A fresh database is built solely by migrations; CI runs migrations against a temp DB; runtime DDL deleted.</t>
  </si>
  <si>
    <t xml:space="preserve">T-10</t>
  </si>
  <si>
    <t xml:space="preserve">Archive release-evidence pipeline</t>
  </si>
  <si>
    <t xml:space="preserve">Move the 22 release/verify scripts and their tests to tools/release-legacy; keep one smoke:prod script (readiness + login + one learning write).</t>
  </si>
  <si>
    <t xml:space="preserve">npm run ci time drops; test suite covers product + smoke only; README no longer references archived commands; one-page release checklist exists.</t>
  </si>
  <si>
    <t xml:space="preserve">T-11</t>
  </si>
  <si>
    <t xml:space="preserve">Remove LangGraph dependency and misleading labels</t>
  </si>
  <si>
    <t xml:space="preserve">Drop @langchain/langgraph; rename engine/runtime strings (e.g., aais-orchestrator-v1).</t>
  </si>
  <si>
    <t xml:space="preserve">Dependency gone from package.json; no source or API response mentions langgraph; tests updated.</t>
  </si>
  <si>
    <t xml:space="preserve">T-12</t>
  </si>
  <si>
    <t xml:space="preserve">Documentation set rewrite</t>
  </si>
  <si>
    <t xml:space="preserve">1-page README (what/run/deploy), ARCHITECTURE.md with real diagram, OPERATIONS.md (deploy/rollback/restore/incidents), CONTRIBUTING.md (branch/PR rules).</t>
  </si>
  <si>
    <t xml:space="preserve">A new engineer completes local setup from README alone in under 30 minutes; old README archived.</t>
  </si>
  <si>
    <t xml:space="preserve">T-13</t>
  </si>
  <si>
    <t xml:space="preserve">Playwright E2E suite in CI</t>
  </si>
  <si>
    <t xml:space="preserve">Specs: login ok/fail; task select + artifact save + reload persistence; AI guide happy path + labeled fallback; teacher dashboard access + student blocked; cohort export.</t>
  </si>
  <si>
    <t xml:space="preserve">Suite runs against PR preview URLs in CI; failure blocks merge.</t>
  </si>
  <si>
    <t xml:space="preserve">P1→P2</t>
  </si>
  <si>
    <t xml:space="preserve">Weeks 3–8</t>
  </si>
  <si>
    <t xml:space="preserve">T-14</t>
  </si>
  <si>
    <t xml:space="preserve">Data model v2: users + events tables + backfill</t>
  </si>
  <si>
    <t xml:space="preserve">Create users, aais_events (append-only), learner_task_state; backfill from JSONB blobs; dual-read for one release.</t>
  </si>
  <si>
    <t xml:space="preserve">Rehearsed on staging from a prod snapshot; event counts reconcile with blobs; app reads from new tables; blob retained read-only until Month 3.</t>
  </si>
  <si>
    <t xml:space="preserve">ISS-04, ISS-15</t>
  </si>
  <si>
    <t xml:space="preserve">T-15</t>
  </si>
  <si>
    <t xml:space="preserve">Invite-based registration + password reset</t>
  </si>
  <si>
    <t xml:space="preserve">Admin invites by email (Resend); set-password flow; reset flow; admin user list page.</t>
  </si>
  <si>
    <t xml:space="preserve">Full invite→login→reset cycle works on staging; env-JSON accounts kept only as break-glass; audit events for each step.</t>
  </si>
  <si>
    <t xml:space="preserve">T-16</t>
  </si>
  <si>
    <t xml:space="preserve">Individual teacher/admin accounts</t>
  </si>
  <si>
    <t xml:space="preserve">Migrate static educator access to per-person users with roles.</t>
  </si>
  <si>
    <t xml:space="preserve">Every human has own credentials; role changes logged; old educator env accounts removed.</t>
  </si>
  <si>
    <t xml:space="preserve">T-17</t>
  </si>
  <si>
    <t xml:space="preserve">Durable rate limiting</t>
  </si>
  <si>
    <t xml:space="preserve">Postgres or Upstash counters for login keyed by account + IP, with lockout and audit events.</t>
  </si>
  <si>
    <t xml:space="preserve">Brute-force test across multiple serverless invocations receives 429; limits configurable by env.</t>
  </si>
  <si>
    <t xml:space="preserve">T-18</t>
  </si>
  <si>
    <t xml:space="preserve">Frontend decomposition of learning page</t>
  </si>
  <si>
    <t xml:space="preserve">Extract typed API client; split learning-page.tsx into TaskList, Workspace/Editor, GuideChat, ScaffoldPanel, ReflectionPanel, ExportMenu + hooks.</t>
  </si>
  <si>
    <t xml:space="preserve">No file over 500 lines in the page tree; behavior identical (E2E green); component tests for 3 key components.</t>
  </si>
  <si>
    <t xml:space="preserve">M–L</t>
  </si>
  <si>
    <t xml:space="preserve">Junior (senior review)</t>
  </si>
  <si>
    <t xml:space="preserve">T-19</t>
  </si>
  <si>
    <t xml:space="preserve">API error-code contract</t>
  </si>
  <si>
    <t xml:space="preserve">Stable {error:{code,message}} response shape; internal messages logged server-side, not returned.</t>
  </si>
  <si>
    <t xml:space="preserve">All routes conform; client shows friendly copy; contract documented for future endpoints.</t>
  </si>
  <si>
    <t xml:space="preserve">T-20</t>
  </si>
  <si>
    <t xml:space="preserve">SQL cohort analytics</t>
  </si>
  <si>
    <t xml:space="preserve">Replace load-everything aggregation with indexed SQL aggregates over aais_events; paginate learner drill-down.</t>
  </si>
  <si>
    <t xml:space="preserve">Dashboard output matches old implementation on test data; p95 under 500ms with 500 simulated learners; memory flat.</t>
  </si>
  <si>
    <t xml:space="preserve">P2/P3</t>
  </si>
  <si>
    <t xml:space="preserve">T-21</t>
  </si>
  <si>
    <t xml:space="preserve">Learner profiles + rule-based recommendations</t>
  </si>
  <si>
    <t xml:space="preserve">Profile aggregates (mastery, help dependency, reflection completeness); 5–8 explainable rules; recommendation API + UI card with reasons; teacher override logged as an event.</t>
  </si>
  <si>
    <t xml:space="preserve">Scripted event fixtures produce expected recommendations with correct reasons; override works and is auditable; rules documented for teachers.</t>
  </si>
  <si>
    <t xml:space="preserve">Senior + junior + owner</t>
  </si>
  <si>
    <t xml:space="preserve">AI readiness</t>
  </si>
  <si>
    <t xml:space="preserve">T-22</t>
  </si>
  <si>
    <t xml:space="preserve">AI experience quality pass</t>
  </si>
  <si>
    <t xml:space="preserve">Raise max tokens (~600); add 1 retry; true token streaming or staged honest progress; visible fallback labeling; per-student daily token budget.</t>
  </si>
  <si>
    <t xml:space="preserve">p50 first token under 3s on staging; fallback clearly labeled in UI; per-student daily cost capped and logged.</t>
  </si>
  <si>
    <t xml:space="preserve">ISS-12, ISS-21</t>
  </si>
  <si>
    <t xml:space="preserve">AAIS 3-Month Technical Recovery Roadmap</t>
  </si>
  <si>
    <t xml:space="preserve">Phase</t>
  </si>
  <si>
    <t xml:space="preserve">Timeframe</t>
  </si>
  <si>
    <t xml:space="preserve">Goal</t>
  </si>
  <si>
    <t xml:space="preserve">Key deliverables</t>
  </si>
  <si>
    <t xml:space="preserve">Related tickets</t>
  </si>
  <si>
    <t xml:space="preserve">Exit criteria</t>
  </si>
  <si>
    <t xml:space="preserve">1. Stabilization &amp; risk reduction</t>
  </si>
  <si>
    <t xml:space="preserve">No anonymous access, no single point of loss, secrets contained, eyes on production</t>
  </si>
  <si>
    <t xml:space="preserve">Keys rotated + docx deleted; demo accounts off in prod; GitHub repo + protected main + green CI; readiness endpoint locked down; Sentry + uptime + cron alerts; Neon backup verified + snapshot; staging environment created</t>
  </si>
  <si>
    <t xml:space="preserve">T-01…T-07</t>
  </si>
  <si>
    <t xml:space="preserve">Demo login fails in prod; repo on GitHub with green CI; keys rotated; error dashboard live; staging URL exists</t>
  </si>
  <si>
    <t xml:space="preserve">2. Architecture cleanup &amp; documentation</t>
  </si>
  <si>
    <t xml:space="preserve">Make the system safely changeable</t>
  </si>
  <si>
    <t xml:space="preserve">Release pipeline archived + one smoke script; LangGraph dep/labels removed; docs set rewritten (README/ARCHITECTURE/OPERATIONS/CONTRIBUTING); migration framework + baseline migration; optimistic locking on writes; first 2 Playwright specs in CI</t>
  </si>
  <si>
    <t xml:space="preserve">T-08…T-13</t>
  </si>
  <si>
    <t xml:space="preserve">New engineer sets up from docs alone; schema changes only via migrations; concurrent-write loss fixed at interim level</t>
  </si>
  <si>
    <t xml:space="preserve">3. Core refactoring &amp; feature foundation</t>
  </si>
  <si>
    <t xml:space="preserve">Real accounts and a data layer that supports the product</t>
  </si>
  <si>
    <t xml:space="preserve">Data model v2 (users, events, task state) + backfill; invite registration + password reset; individual staff accounts; frontend decomposition; durable rate limiting; API error contract; full E2E suite</t>
  </si>
  <si>
    <t xml:space="preserve">T-13…T-19</t>
  </si>
  <si>
    <t xml:space="preserve">Users invitable with self-service reset; events in SQL with aggregates; learning page componentized; E2E on every PR</t>
  </si>
  <si>
    <t xml:space="preserve">4. Hardening &amp; controlled expansion</t>
  </si>
  <si>
    <t xml:space="preserve">Pilot-ready: honest AI, explainable recommendations, privacy answered</t>
  </si>
  <si>
    <t xml:space="preserve">Learner profiles + rule-based recommendations with teacher override; AI quality pass (tokens/retry/streaming/fallback labels/budgets); privacy baseline (inventory, retention, export/delete, consent, DPAs); accessibility + mobile pass; nonce CSP; load sanity test; controlled pilot with one class</t>
  </si>
  <si>
    <t xml:space="preserve">T-20…T-22 + checklist</t>
  </si>
  <si>
    <t xml:space="preserve">Pilot ran with no data loss or unauthorized access; recommendations explainable; privacy questions answerable in writing</t>
  </si>
  <si>
    <t xml:space="preserve">Minimum Production-Readiness Checklist (safe to invite one real class)</t>
  </si>
  <si>
    <t xml:space="preserve">Category</t>
  </si>
  <si>
    <t xml:space="preserve">Item</t>
  </si>
  <si>
    <t xml:space="preserve">Required before</t>
  </si>
  <si>
    <t xml:space="preserve">Owner</t>
  </si>
  <si>
    <t xml:space="preserve">Security</t>
  </si>
  <si>
    <t xml:space="preserve">Built-in demo credentials disabled in production (verified by failed login)</t>
  </si>
  <si>
    <t xml:space="preserve">Week 2</t>
  </si>
  <si>
    <t xml:space="preserve">All API keys/passwords rotated after removing 'All API Keys.docx'; secrets only in Vercel env + password manager</t>
  </si>
  <si>
    <t xml:space="preserve">Individual accounts for every human (no shared teacher/admin credentials)</t>
  </si>
  <si>
    <t xml:space="preserve">Pilot</t>
  </si>
  <si>
    <t xml:space="preserve">Durable login rate limiting verified across serverless instances</t>
  </si>
  <si>
    <t xml:space="preserve">Readiness/diagnostics endpoints require auth beyond bare status</t>
  </si>
  <si>
    <t xml:space="preserve">Dependency audit (npm audit / Dependabot) clean of critical vulnerabilities in CI</t>
  </si>
  <si>
    <t xml:space="preserve">Data</t>
  </si>
  <si>
    <t xml:space="preserve">Migration tool in place; zero runtime DDL</t>
  </si>
  <si>
    <t xml:space="preserve">Concurrent-write safety proven by a test (two parallel saves, nothing lost)</t>
  </si>
  <si>
    <t xml:space="preserve">Senior</t>
  </si>
  <si>
    <t xml:space="preserve">Nightly snapshot or PITR confirmed on the Neon plan in writing</t>
  </si>
  <si>
    <t xml:space="preserve">Restore rehearsed end-to-end quarterly (documented, under 1 hour)</t>
  </si>
  <si>
    <t xml:space="preserve">Per-user data export and deletion implemented and tested</t>
  </si>
  <si>
    <t xml:space="preserve">Deployment</t>
  </si>
  <si>
    <t xml:space="preserve">Deploys only from Git (main) via CI; laptop deploys disabled</t>
  </si>
  <si>
    <t xml:space="preserve">Staging environment with seeded data; every change staged first</t>
  </si>
  <si>
    <t xml:space="preserve">Week 4</t>
  </si>
  <si>
    <t xml:space="preserve">One-step rollback documented and rehearsed (Vercel redeploy + snapshot)</t>
  </si>
  <si>
    <t xml:space="preserve">Environment variables documented in .env.example for local/staging/prod</t>
  </si>
  <si>
    <t xml:space="preserve">CI gate: lint + type-check + unit + build on every PR</t>
  </si>
  <si>
    <t xml:space="preserve">Playwright E2E on the 3 core flows against preview deploys</t>
  </si>
  <si>
    <t xml:space="preserve">Regression test exists for every Critical/High issue fixed</t>
  </si>
  <si>
    <t xml:space="preserve">Monitoring</t>
  </si>
  <si>
    <t xml:space="preserve">Sentry receiving client + server errors with alerts to a named human</t>
  </si>
  <si>
    <t xml:space="preserve">Uptime check on /login and a cron-failure alert</t>
  </si>
  <si>
    <t xml:space="preserve">Weekly 15-minute dashboard review owned by a named person</t>
  </si>
  <si>
    <t xml:space="preserve">Documentation</t>
  </si>
  <si>
    <t xml:space="preserve">README no longer than 1 page: what it is, run locally, deploy</t>
  </si>
  <si>
    <t xml:space="preserve">ARCHITECTURE.md with the real diagram and the deliberate 'not yet' list</t>
  </si>
  <si>
    <t xml:space="preserve">OPERATIONS.md: deploy, rollback, restore, incident basics</t>
  </si>
  <si>
    <t xml:space="preserve">CONTRIBUTING.md: branch, PR, and review rules</t>
  </si>
  <si>
    <t xml:space="preserve">UX</t>
  </si>
  <si>
    <t xml:space="preserve">Loading and error states on every async action (especially the AI guide)</t>
  </si>
  <si>
    <t xml:space="preserve">AI fallback/template responses visibly labeled</t>
  </si>
  <si>
    <t xml:space="preserve">Keyboard + screen-reader pass on the 3 core screens; contrast fixes</t>
  </si>
  <si>
    <t xml:space="preserve">Designer</t>
  </si>
  <si>
    <t xml:space="preserve">Stated mobile policy (supported, or a graceful larger-screen message)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</si>
</sst>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6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4"/>
      <color rgb="FF1F3B6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63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EE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B63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1C40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555555"/>
      <rgbColor rgb="FF969696"/>
      <rgbColor rgb="FF1F3B63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COUNTIF('Issues Register'!$D$5:$D$26,"Critical*")</f>
        <v>3</v>
      </c>
      <c r="C5" s="5" t="n">
        <f aca="false">COUNTIFS('Issues Register'!$D$5:$D$26,"Critical*",'Issues Register'!$L$5:$L$26,"Open")</f>
        <v>3</v>
      </c>
      <c r="D5" s="5" t="n">
        <f aca="false">COUNTIFS('Issues Register'!$D$5:$D$26,"Critical*",'Issues Register'!$L$5:$L$26,"Done")</f>
        <v>0</v>
      </c>
    </row>
    <row r="6" customFormat="false" ht="15" hidden="false" customHeight="false" outlineLevel="0" collapsed="false">
      <c r="A6" s="6" t="s">
        <v>7</v>
      </c>
      <c r="B6" s="5" t="n">
        <f aca="false">COUNTIF('Issues Register'!$D$5:$D$26,"High*")</f>
        <v>5</v>
      </c>
      <c r="C6" s="5" t="n">
        <f aca="false">COUNTIFS('Issues Register'!$D$5:$D$26,"High*",'Issues Register'!$L$5:$L$26,"Open")</f>
        <v>5</v>
      </c>
      <c r="D6" s="5" t="n">
        <f aca="false">COUNTIFS('Issues Register'!$D$5:$D$26,"High*",'Issues Register'!$L$5:$L$26,"Done")</f>
        <v>0</v>
      </c>
    </row>
    <row r="7" customFormat="false" ht="15" hidden="false" customHeight="false" outlineLevel="0" collapsed="false">
      <c r="A7" s="7" t="s">
        <v>8</v>
      </c>
      <c r="B7" s="5" t="n">
        <f aca="false">COUNTIF('Issues Register'!$D$5:$D$26,"Medium*")</f>
        <v>10</v>
      </c>
      <c r="C7" s="5" t="n">
        <f aca="false">COUNTIFS('Issues Register'!$D$5:$D$26,"Medium*",'Issues Register'!$L$5:$L$26,"Open")</f>
        <v>10</v>
      </c>
      <c r="D7" s="5" t="n">
        <f aca="false">COUNTIFS('Issues Register'!$D$5:$D$26,"Medium*",'Issues Register'!$L$5:$L$26,"Done")</f>
        <v>0</v>
      </c>
    </row>
    <row r="8" customFormat="false" ht="15" hidden="false" customHeight="false" outlineLevel="0" collapsed="false">
      <c r="A8" s="8" t="s">
        <v>9</v>
      </c>
      <c r="B8" s="5" t="n">
        <f aca="false">COUNTIF('Issues Register'!$D$5:$D$26,"Low*")</f>
        <v>4</v>
      </c>
      <c r="C8" s="5" t="n">
        <f aca="false">COUNTIFS('Issues Register'!$D$5:$D$26,"Low*",'Issues Register'!$L$5:$L$26,"Open")</f>
        <v>4</v>
      </c>
      <c r="D8" s="5" t="n">
        <f aca="false">COUNTIFS('Issues Register'!$D$5:$D$26,"Low*",'Issues Register'!$L$5:$L$26,"Done")</f>
        <v>0</v>
      </c>
    </row>
    <row r="9" customFormat="false" ht="15" hidden="false" customHeight="false" outlineLevel="0" collapsed="false">
      <c r="A9" s="9" t="s">
        <v>10</v>
      </c>
      <c r="B9" s="10" t="n">
        <f aca="false">COUNTA('Issues Register'!$A$5:$A$26)</f>
        <v>22</v>
      </c>
      <c r="C9" s="10" t="n">
        <f aca="false">COUNTIF('Issues Register'!$L$5:$L$26,"Open")</f>
        <v>22</v>
      </c>
      <c r="D9" s="10" t="n">
        <f aca="false">COUNTIF('Issues Register'!$L$5:$L$26,"Done")</f>
        <v>0</v>
      </c>
    </row>
    <row r="11" customFormat="false" ht="15" hidden="false" customHeight="false" outlineLevel="0" collapsed="false">
      <c r="A11" s="3" t="s">
        <v>11</v>
      </c>
      <c r="B11" s="3" t="s">
        <v>12</v>
      </c>
      <c r="C11" s="3" t="s">
        <v>4</v>
      </c>
      <c r="D11" s="3" t="s">
        <v>5</v>
      </c>
    </row>
    <row r="12" customFormat="false" ht="15" hidden="false" customHeight="false" outlineLevel="0" collapsed="false">
      <c r="A12" s="9" t="s">
        <v>13</v>
      </c>
      <c r="B12" s="5" t="n">
        <f aca="false">COUNTIF('Backlog Tickets'!$E$5:$E$26,"*P0*")</f>
        <v>7</v>
      </c>
      <c r="C12" s="5" t="n">
        <f aca="false">COUNTIFS('Backlog Tickets'!$E$5:$E$26,"*P0*",'Backlog Tickets'!$J$5:$J$26,"Open")</f>
        <v>7</v>
      </c>
      <c r="D12" s="5" t="n">
        <f aca="false">COUNTIFS('Backlog Tickets'!$E$5:$E$26,"*P0*",'Backlog Tickets'!$J$5:$J$26,"Done")</f>
        <v>0</v>
      </c>
    </row>
    <row r="13" customFormat="false" ht="15" hidden="false" customHeight="false" outlineLevel="0" collapsed="false">
      <c r="A13" s="9" t="s">
        <v>14</v>
      </c>
      <c r="B13" s="5" t="n">
        <f aca="false">COUNTIF('Backlog Tickets'!$E$5:$E$26,"*P1*")</f>
        <v>7</v>
      </c>
      <c r="C13" s="5" t="n">
        <f aca="false">COUNTIFS('Backlog Tickets'!$E$5:$E$26,"*P1*",'Backlog Tickets'!$J$5:$J$26,"Open")</f>
        <v>7</v>
      </c>
      <c r="D13" s="5" t="n">
        <f aca="false">COUNTIFS('Backlog Tickets'!$E$5:$E$26,"*P1*",'Backlog Tickets'!$J$5:$J$26,"Done")</f>
        <v>0</v>
      </c>
    </row>
    <row r="14" customFormat="false" ht="15" hidden="false" customHeight="false" outlineLevel="0" collapsed="false">
      <c r="A14" s="9" t="s">
        <v>15</v>
      </c>
      <c r="B14" s="5" t="n">
        <f aca="false">COUNTIF('Backlog Tickets'!$E$5:$E$26,"*P2*")</f>
        <v>8</v>
      </c>
      <c r="C14" s="5" t="n">
        <f aca="false">COUNTIFS('Backlog Tickets'!$E$5:$E$26,"*P2*",'Backlog Tickets'!$J$5:$J$26,"Open")</f>
        <v>8</v>
      </c>
      <c r="D14" s="5" t="n">
        <f aca="false">COUNTIFS('Backlog Tickets'!$E$5:$E$26,"*P2*",'Backlog Tickets'!$J$5:$J$26,"Done")</f>
        <v>0</v>
      </c>
    </row>
    <row r="15" customFormat="false" ht="15" hidden="false" customHeight="false" outlineLevel="0" collapsed="false">
      <c r="A15" s="9" t="s">
        <v>16</v>
      </c>
      <c r="B15" s="5" t="n">
        <f aca="false">COUNTIF('Backlog Tickets'!$E$5:$E$26,"*P3*")</f>
        <v>3</v>
      </c>
      <c r="C15" s="5" t="n">
        <f aca="false">COUNTIFS('Backlog Tickets'!$E$5:$E$26,"*P3*",'Backlog Tickets'!$J$5:$J$26,"Open")</f>
        <v>3</v>
      </c>
      <c r="D15" s="5" t="n">
        <f aca="false">COUNTIFS('Backlog Tickets'!$E$5:$E$26,"*P3*",'Backlog Tickets'!$J$5:$J$26,"Done")</f>
        <v>0</v>
      </c>
    </row>
    <row r="17" customFormat="false" ht="15" hidden="false" customHeight="false" outlineLevel="0" collapsed="false">
      <c r="A17" s="3" t="s">
        <v>17</v>
      </c>
      <c r="B17" s="3" t="s">
        <v>18</v>
      </c>
      <c r="C17" s="3" t="s">
        <v>19</v>
      </c>
      <c r="D17" s="3" t="s">
        <v>5</v>
      </c>
    </row>
    <row r="18" customFormat="false" ht="15" hidden="false" customHeight="false" outlineLevel="0" collapsed="false">
      <c r="A18" s="9" t="s">
        <v>20</v>
      </c>
      <c r="B18" s="5" t="n">
        <f aca="false">COUNTA('Readiness Checklist'!$B$5:$B$33)</f>
        <v>29</v>
      </c>
      <c r="C18" s="5" t="n">
        <f aca="false">COUNTIF('Readiness Checklist'!$E$5:$E$33,"TODO")</f>
        <v>29</v>
      </c>
      <c r="D18" s="5" t="n">
        <f aca="false">COUNTIF('Readiness Checklist'!$E$5:$E$33,"Done")</f>
        <v>0</v>
      </c>
    </row>
    <row r="21" customFormat="false" ht="15" hidden="false" customHeight="false" outlineLevel="0" collapsed="false">
      <c r="A21" s="11" t="s">
        <v>21</v>
      </c>
    </row>
    <row r="22" customFormat="false" ht="15" hidden="false" customHeight="false" outlineLevel="0" collapsed="false">
      <c r="A22" s="12" t="s">
        <v>22</v>
      </c>
    </row>
    <row r="23" customFormat="false" ht="15" hidden="false" customHeight="false" outlineLevel="0" collapsed="false">
      <c r="A23" s="12" t="s">
        <v>23</v>
      </c>
    </row>
    <row r="24" customFormat="false" ht="15" hidden="false" customHeight="false" outlineLevel="0" collapsed="false">
      <c r="A24" s="12" t="s">
        <v>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7" min="6" style="0" width="36"/>
    <col collapsed="false" customWidth="true" hidden="false" outlineLevel="0" max="8" min="8" style="0" width="44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" hidden="false" customHeight="false" outlineLevel="0" collapsed="false">
      <c r="A2" s="2" t="s">
        <v>26</v>
      </c>
    </row>
    <row r="4" customFormat="false" ht="23.85" hidden="false" customHeight="false" outlineLevel="0" collapsed="false">
      <c r="A4" s="14" t="s">
        <v>27</v>
      </c>
      <c r="B4" s="14" t="s">
        <v>28</v>
      </c>
      <c r="C4" s="14" t="s">
        <v>29</v>
      </c>
      <c r="D4" s="14" t="s">
        <v>30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</row>
    <row r="5" customFormat="false" ht="57.45" hidden="false" customHeight="false" outlineLevel="0" collapsed="false">
      <c r="A5" s="15" t="s">
        <v>39</v>
      </c>
      <c r="B5" s="16" t="s">
        <v>40</v>
      </c>
      <c r="C5" s="16" t="s">
        <v>41</v>
      </c>
      <c r="D5" s="17" t="s">
        <v>6</v>
      </c>
      <c r="E5" s="16" t="s">
        <v>42</v>
      </c>
      <c r="F5" s="16" t="s">
        <v>43</v>
      </c>
      <c r="G5" s="16" t="s">
        <v>44</v>
      </c>
      <c r="H5" s="16" t="s">
        <v>45</v>
      </c>
      <c r="I5" s="15" t="s">
        <v>46</v>
      </c>
      <c r="J5" s="15" t="s">
        <v>47</v>
      </c>
      <c r="K5" s="15" t="s">
        <v>48</v>
      </c>
      <c r="L5" s="15" t="s">
        <v>4</v>
      </c>
    </row>
    <row r="6" customFormat="false" ht="35.05" hidden="false" customHeight="false" outlineLevel="0" collapsed="false">
      <c r="A6" s="18" t="s">
        <v>49</v>
      </c>
      <c r="B6" s="19" t="s">
        <v>50</v>
      </c>
      <c r="C6" s="19" t="s">
        <v>51</v>
      </c>
      <c r="D6" s="17" t="s">
        <v>6</v>
      </c>
      <c r="E6" s="19" t="s">
        <v>52</v>
      </c>
      <c r="F6" s="19" t="s">
        <v>53</v>
      </c>
      <c r="G6" s="19" t="s">
        <v>54</v>
      </c>
      <c r="H6" s="19" t="s">
        <v>55</v>
      </c>
      <c r="I6" s="18" t="s">
        <v>46</v>
      </c>
      <c r="J6" s="18" t="s">
        <v>47</v>
      </c>
      <c r="K6" s="18" t="s">
        <v>48</v>
      </c>
      <c r="L6" s="18" t="s">
        <v>4</v>
      </c>
    </row>
    <row r="7" customFormat="false" ht="46.25" hidden="false" customHeight="false" outlineLevel="0" collapsed="false">
      <c r="A7" s="15" t="s">
        <v>56</v>
      </c>
      <c r="B7" s="16" t="s">
        <v>57</v>
      </c>
      <c r="C7" s="16" t="s">
        <v>58</v>
      </c>
      <c r="D7" s="17" t="s">
        <v>6</v>
      </c>
      <c r="E7" s="16" t="s">
        <v>59</v>
      </c>
      <c r="F7" s="16" t="s">
        <v>60</v>
      </c>
      <c r="G7" s="16" t="s">
        <v>61</v>
      </c>
      <c r="H7" s="16" t="s">
        <v>62</v>
      </c>
      <c r="I7" s="15" t="s">
        <v>46</v>
      </c>
      <c r="J7" s="15" t="s">
        <v>63</v>
      </c>
      <c r="K7" s="15" t="s">
        <v>48</v>
      </c>
      <c r="L7" s="15" t="s">
        <v>4</v>
      </c>
    </row>
    <row r="8" customFormat="false" ht="57.45" hidden="false" customHeight="false" outlineLevel="0" collapsed="false">
      <c r="A8" s="18" t="s">
        <v>64</v>
      </c>
      <c r="B8" s="19" t="s">
        <v>65</v>
      </c>
      <c r="C8" s="19" t="s">
        <v>66</v>
      </c>
      <c r="D8" s="20" t="s">
        <v>67</v>
      </c>
      <c r="E8" s="19" t="s">
        <v>68</v>
      </c>
      <c r="F8" s="19" t="s">
        <v>69</v>
      </c>
      <c r="G8" s="19" t="s">
        <v>70</v>
      </c>
      <c r="H8" s="19" t="s">
        <v>71</v>
      </c>
      <c r="I8" s="18" t="s">
        <v>72</v>
      </c>
      <c r="J8" s="18" t="s">
        <v>73</v>
      </c>
      <c r="K8" s="18" t="s">
        <v>74</v>
      </c>
      <c r="L8" s="18" t="s">
        <v>4</v>
      </c>
    </row>
    <row r="9" customFormat="false" ht="35.05" hidden="false" customHeight="false" outlineLevel="0" collapsed="false">
      <c r="A9" s="15" t="s">
        <v>75</v>
      </c>
      <c r="B9" s="16" t="s">
        <v>76</v>
      </c>
      <c r="C9" s="16" t="s">
        <v>77</v>
      </c>
      <c r="D9" s="20" t="s">
        <v>67</v>
      </c>
      <c r="E9" s="16" t="s">
        <v>78</v>
      </c>
      <c r="F9" s="16" t="s">
        <v>79</v>
      </c>
      <c r="G9" s="16" t="s">
        <v>80</v>
      </c>
      <c r="H9" s="16" t="s">
        <v>81</v>
      </c>
      <c r="I9" s="15" t="s">
        <v>72</v>
      </c>
      <c r="J9" s="15" t="s">
        <v>82</v>
      </c>
      <c r="K9" s="15" t="s">
        <v>83</v>
      </c>
      <c r="L9" s="15" t="s">
        <v>4</v>
      </c>
    </row>
    <row r="10" customFormat="false" ht="46.25" hidden="false" customHeight="false" outlineLevel="0" collapsed="false">
      <c r="A10" s="18" t="s">
        <v>84</v>
      </c>
      <c r="B10" s="19" t="s">
        <v>85</v>
      </c>
      <c r="C10" s="19" t="s">
        <v>86</v>
      </c>
      <c r="D10" s="21" t="s">
        <v>87</v>
      </c>
      <c r="E10" s="19" t="s">
        <v>88</v>
      </c>
      <c r="F10" s="19" t="s">
        <v>89</v>
      </c>
      <c r="G10" s="19" t="s">
        <v>90</v>
      </c>
      <c r="H10" s="19" t="s">
        <v>91</v>
      </c>
      <c r="I10" s="18" t="s">
        <v>46</v>
      </c>
      <c r="J10" s="18" t="s">
        <v>47</v>
      </c>
      <c r="K10" s="18" t="s">
        <v>92</v>
      </c>
      <c r="L10" s="18" t="s">
        <v>4</v>
      </c>
    </row>
    <row r="11" customFormat="false" ht="35.05" hidden="false" customHeight="false" outlineLevel="0" collapsed="false">
      <c r="A11" s="15" t="s">
        <v>93</v>
      </c>
      <c r="B11" s="16" t="s">
        <v>94</v>
      </c>
      <c r="C11" s="16" t="s">
        <v>41</v>
      </c>
      <c r="D11" s="21" t="s">
        <v>87</v>
      </c>
      <c r="E11" s="16" t="s">
        <v>95</v>
      </c>
      <c r="F11" s="16" t="s">
        <v>96</v>
      </c>
      <c r="G11" s="16" t="s">
        <v>97</v>
      </c>
      <c r="H11" s="16" t="s">
        <v>98</v>
      </c>
      <c r="I11" s="15" t="s">
        <v>99</v>
      </c>
      <c r="J11" s="15" t="s">
        <v>47</v>
      </c>
      <c r="K11" s="15" t="s">
        <v>100</v>
      </c>
      <c r="L11" s="15" t="s">
        <v>4</v>
      </c>
    </row>
    <row r="12" customFormat="false" ht="57.45" hidden="false" customHeight="false" outlineLevel="0" collapsed="false">
      <c r="A12" s="18" t="s">
        <v>101</v>
      </c>
      <c r="B12" s="19" t="s">
        <v>102</v>
      </c>
      <c r="C12" s="19" t="s">
        <v>103</v>
      </c>
      <c r="D12" s="20" t="s">
        <v>67</v>
      </c>
      <c r="E12" s="19" t="s">
        <v>104</v>
      </c>
      <c r="F12" s="19" t="s">
        <v>105</v>
      </c>
      <c r="G12" s="19" t="s">
        <v>106</v>
      </c>
      <c r="H12" s="19" t="s">
        <v>107</v>
      </c>
      <c r="I12" s="18" t="s">
        <v>108</v>
      </c>
      <c r="J12" s="18" t="s">
        <v>109</v>
      </c>
      <c r="K12" s="18" t="s">
        <v>100</v>
      </c>
      <c r="L12" s="18" t="s">
        <v>4</v>
      </c>
    </row>
    <row r="13" customFormat="false" ht="35.05" hidden="false" customHeight="false" outlineLevel="0" collapsed="false">
      <c r="A13" s="15" t="s">
        <v>110</v>
      </c>
      <c r="B13" s="16" t="s">
        <v>111</v>
      </c>
      <c r="C13" s="16" t="s">
        <v>112</v>
      </c>
      <c r="D13" s="20" t="s">
        <v>67</v>
      </c>
      <c r="E13" s="16" t="s">
        <v>113</v>
      </c>
      <c r="F13" s="16" t="s">
        <v>114</v>
      </c>
      <c r="G13" s="16" t="s">
        <v>115</v>
      </c>
      <c r="H13" s="16" t="s">
        <v>116</v>
      </c>
      <c r="I13" s="15" t="s">
        <v>72</v>
      </c>
      <c r="J13" s="15" t="s">
        <v>82</v>
      </c>
      <c r="K13" s="15" t="s">
        <v>100</v>
      </c>
      <c r="L13" s="15" t="s">
        <v>4</v>
      </c>
    </row>
    <row r="14" customFormat="false" ht="57.45" hidden="false" customHeight="false" outlineLevel="0" collapsed="false">
      <c r="A14" s="18" t="s">
        <v>117</v>
      </c>
      <c r="B14" s="19" t="s">
        <v>118</v>
      </c>
      <c r="C14" s="19" t="s">
        <v>119</v>
      </c>
      <c r="D14" s="21" t="s">
        <v>87</v>
      </c>
      <c r="E14" s="19" t="s">
        <v>120</v>
      </c>
      <c r="F14" s="19" t="s">
        <v>121</v>
      </c>
      <c r="G14" s="19" t="s">
        <v>122</v>
      </c>
      <c r="H14" s="19" t="s">
        <v>123</v>
      </c>
      <c r="I14" s="18" t="s">
        <v>46</v>
      </c>
      <c r="J14" s="18" t="s">
        <v>47</v>
      </c>
      <c r="K14" s="18" t="s">
        <v>124</v>
      </c>
      <c r="L14" s="18" t="s">
        <v>4</v>
      </c>
    </row>
    <row r="15" customFormat="false" ht="46.25" hidden="false" customHeight="false" outlineLevel="0" collapsed="false">
      <c r="A15" s="15" t="s">
        <v>125</v>
      </c>
      <c r="B15" s="16" t="s">
        <v>126</v>
      </c>
      <c r="C15" s="16" t="s">
        <v>127</v>
      </c>
      <c r="D15" s="22" t="s">
        <v>128</v>
      </c>
      <c r="E15" s="16" t="s">
        <v>129</v>
      </c>
      <c r="F15" s="16" t="s">
        <v>130</v>
      </c>
      <c r="G15" s="16" t="s">
        <v>131</v>
      </c>
      <c r="H15" s="16" t="s">
        <v>132</v>
      </c>
      <c r="I15" s="15" t="s">
        <v>46</v>
      </c>
      <c r="J15" s="15" t="s">
        <v>47</v>
      </c>
      <c r="K15" s="15" t="s">
        <v>124</v>
      </c>
      <c r="L15" s="15" t="s">
        <v>4</v>
      </c>
    </row>
    <row r="16" customFormat="false" ht="57.45" hidden="false" customHeight="false" outlineLevel="0" collapsed="false">
      <c r="A16" s="18" t="s">
        <v>133</v>
      </c>
      <c r="B16" s="19" t="s">
        <v>134</v>
      </c>
      <c r="C16" s="19" t="s">
        <v>135</v>
      </c>
      <c r="D16" s="21" t="s">
        <v>87</v>
      </c>
      <c r="E16" s="19" t="s">
        <v>136</v>
      </c>
      <c r="F16" s="19" t="s">
        <v>137</v>
      </c>
      <c r="G16" s="19" t="s">
        <v>138</v>
      </c>
      <c r="H16" s="19" t="s">
        <v>139</v>
      </c>
      <c r="I16" s="18" t="s">
        <v>72</v>
      </c>
      <c r="J16" s="18" t="s">
        <v>140</v>
      </c>
      <c r="K16" s="18" t="s">
        <v>141</v>
      </c>
      <c r="L16" s="18" t="s">
        <v>4</v>
      </c>
    </row>
    <row r="17" customFormat="false" ht="35.05" hidden="false" customHeight="false" outlineLevel="0" collapsed="false">
      <c r="A17" s="15" t="s">
        <v>142</v>
      </c>
      <c r="B17" s="16" t="s">
        <v>143</v>
      </c>
      <c r="C17" s="16" t="s">
        <v>144</v>
      </c>
      <c r="D17" s="21" t="s">
        <v>87</v>
      </c>
      <c r="E17" s="16" t="s">
        <v>145</v>
      </c>
      <c r="F17" s="16" t="s">
        <v>146</v>
      </c>
      <c r="G17" s="16" t="s">
        <v>147</v>
      </c>
      <c r="H17" s="16" t="s">
        <v>148</v>
      </c>
      <c r="I17" s="15" t="s">
        <v>46</v>
      </c>
      <c r="J17" s="15" t="s">
        <v>47</v>
      </c>
      <c r="K17" s="15" t="s">
        <v>92</v>
      </c>
      <c r="L17" s="15" t="s">
        <v>4</v>
      </c>
    </row>
    <row r="18" customFormat="false" ht="46.25" hidden="false" customHeight="false" outlineLevel="0" collapsed="false">
      <c r="A18" s="18" t="s">
        <v>149</v>
      </c>
      <c r="B18" s="19" t="s">
        <v>150</v>
      </c>
      <c r="C18" s="19" t="s">
        <v>151</v>
      </c>
      <c r="D18" s="21" t="s">
        <v>87</v>
      </c>
      <c r="E18" s="19" t="s">
        <v>152</v>
      </c>
      <c r="F18" s="19" t="s">
        <v>153</v>
      </c>
      <c r="G18" s="19" t="s">
        <v>154</v>
      </c>
      <c r="H18" s="19" t="s">
        <v>155</v>
      </c>
      <c r="I18" s="18" t="s">
        <v>72</v>
      </c>
      <c r="J18" s="18" t="s">
        <v>47</v>
      </c>
      <c r="K18" s="18" t="s">
        <v>156</v>
      </c>
      <c r="L18" s="18" t="s">
        <v>4</v>
      </c>
    </row>
    <row r="19" customFormat="false" ht="35.05" hidden="false" customHeight="false" outlineLevel="0" collapsed="false">
      <c r="A19" s="15" t="s">
        <v>157</v>
      </c>
      <c r="B19" s="16" t="s">
        <v>158</v>
      </c>
      <c r="C19" s="16" t="s">
        <v>159</v>
      </c>
      <c r="D19" s="21" t="s">
        <v>160</v>
      </c>
      <c r="E19" s="16" t="s">
        <v>161</v>
      </c>
      <c r="F19" s="16" t="s">
        <v>162</v>
      </c>
      <c r="G19" s="16" t="s">
        <v>163</v>
      </c>
      <c r="H19" s="16" t="s">
        <v>164</v>
      </c>
      <c r="I19" s="15" t="s">
        <v>72</v>
      </c>
      <c r="J19" s="15" t="s">
        <v>165</v>
      </c>
      <c r="K19" s="15" t="s">
        <v>141</v>
      </c>
      <c r="L19" s="15" t="s">
        <v>4</v>
      </c>
    </row>
    <row r="20" customFormat="false" ht="46.25" hidden="false" customHeight="false" outlineLevel="0" collapsed="false">
      <c r="A20" s="18" t="s">
        <v>166</v>
      </c>
      <c r="B20" s="19" t="s">
        <v>167</v>
      </c>
      <c r="C20" s="19" t="s">
        <v>168</v>
      </c>
      <c r="D20" s="18" t="s">
        <v>169</v>
      </c>
      <c r="E20" s="19" t="s">
        <v>170</v>
      </c>
      <c r="F20" s="19" t="s">
        <v>171</v>
      </c>
      <c r="G20" s="19" t="s">
        <v>172</v>
      </c>
      <c r="H20" s="19" t="s">
        <v>173</v>
      </c>
      <c r="I20" s="18" t="s">
        <v>72</v>
      </c>
      <c r="J20" s="18" t="s">
        <v>140</v>
      </c>
      <c r="K20" s="18" t="s">
        <v>174</v>
      </c>
      <c r="L20" s="18" t="s">
        <v>4</v>
      </c>
    </row>
    <row r="21" customFormat="false" ht="35.05" hidden="false" customHeight="false" outlineLevel="0" collapsed="false">
      <c r="A21" s="15" t="s">
        <v>175</v>
      </c>
      <c r="B21" s="16" t="s">
        <v>176</v>
      </c>
      <c r="C21" s="16" t="s">
        <v>41</v>
      </c>
      <c r="D21" s="22" t="s">
        <v>128</v>
      </c>
      <c r="E21" s="16" t="s">
        <v>177</v>
      </c>
      <c r="F21" s="16" t="s">
        <v>178</v>
      </c>
      <c r="G21" s="16" t="s">
        <v>179</v>
      </c>
      <c r="H21" s="16" t="s">
        <v>180</v>
      </c>
      <c r="I21" s="15" t="s">
        <v>46</v>
      </c>
      <c r="J21" s="15" t="s">
        <v>165</v>
      </c>
      <c r="K21" s="15" t="s">
        <v>181</v>
      </c>
      <c r="L21" s="15" t="s">
        <v>4</v>
      </c>
    </row>
    <row r="22" customFormat="false" ht="23.85" hidden="false" customHeight="false" outlineLevel="0" collapsed="false">
      <c r="A22" s="18" t="s">
        <v>182</v>
      </c>
      <c r="B22" s="19" t="s">
        <v>183</v>
      </c>
      <c r="C22" s="19" t="s">
        <v>184</v>
      </c>
      <c r="D22" s="22" t="s">
        <v>185</v>
      </c>
      <c r="E22" s="19" t="s">
        <v>186</v>
      </c>
      <c r="F22" s="19" t="s">
        <v>187</v>
      </c>
      <c r="G22" s="19" t="s">
        <v>188</v>
      </c>
      <c r="H22" s="19" t="s">
        <v>189</v>
      </c>
      <c r="I22" s="18" t="s">
        <v>46</v>
      </c>
      <c r="J22" s="18" t="s">
        <v>165</v>
      </c>
      <c r="K22" s="18" t="s">
        <v>181</v>
      </c>
      <c r="L22" s="18" t="s">
        <v>4</v>
      </c>
    </row>
    <row r="23" customFormat="false" ht="35.05" hidden="false" customHeight="false" outlineLevel="0" collapsed="false">
      <c r="A23" s="15" t="s">
        <v>190</v>
      </c>
      <c r="B23" s="16" t="s">
        <v>191</v>
      </c>
      <c r="C23" s="16" t="s">
        <v>192</v>
      </c>
      <c r="D23" s="21" t="s">
        <v>87</v>
      </c>
      <c r="E23" s="16" t="s">
        <v>193</v>
      </c>
      <c r="F23" s="16" t="s">
        <v>194</v>
      </c>
      <c r="G23" s="16" t="s">
        <v>195</v>
      </c>
      <c r="H23" s="16" t="s">
        <v>196</v>
      </c>
      <c r="I23" s="15" t="s">
        <v>72</v>
      </c>
      <c r="J23" s="15" t="s">
        <v>197</v>
      </c>
      <c r="K23" s="15" t="s">
        <v>181</v>
      </c>
      <c r="L23" s="15" t="s">
        <v>4</v>
      </c>
    </row>
    <row r="24" customFormat="false" ht="46.25" hidden="false" customHeight="false" outlineLevel="0" collapsed="false">
      <c r="A24" s="18" t="s">
        <v>198</v>
      </c>
      <c r="B24" s="19" t="s">
        <v>199</v>
      </c>
      <c r="C24" s="19" t="s">
        <v>200</v>
      </c>
      <c r="D24" s="21" t="s">
        <v>87</v>
      </c>
      <c r="E24" s="19" t="s">
        <v>201</v>
      </c>
      <c r="F24" s="19" t="s">
        <v>202</v>
      </c>
      <c r="G24" s="19" t="s">
        <v>203</v>
      </c>
      <c r="H24" s="19" t="s">
        <v>204</v>
      </c>
      <c r="I24" s="18" t="s">
        <v>46</v>
      </c>
      <c r="J24" s="18" t="s">
        <v>47</v>
      </c>
      <c r="K24" s="18" t="s">
        <v>124</v>
      </c>
      <c r="L24" s="18" t="s">
        <v>4</v>
      </c>
    </row>
    <row r="25" customFormat="false" ht="46.25" hidden="false" customHeight="false" outlineLevel="0" collapsed="false">
      <c r="A25" s="15" t="s">
        <v>205</v>
      </c>
      <c r="B25" s="16" t="s">
        <v>206</v>
      </c>
      <c r="C25" s="16" t="s">
        <v>207</v>
      </c>
      <c r="D25" s="21" t="s">
        <v>87</v>
      </c>
      <c r="E25" s="16" t="s">
        <v>208</v>
      </c>
      <c r="F25" s="16" t="s">
        <v>209</v>
      </c>
      <c r="G25" s="16" t="s">
        <v>210</v>
      </c>
      <c r="H25" s="16" t="s">
        <v>211</v>
      </c>
      <c r="I25" s="15" t="s">
        <v>72</v>
      </c>
      <c r="J25" s="15" t="s">
        <v>165</v>
      </c>
      <c r="K25" s="15" t="s">
        <v>141</v>
      </c>
      <c r="L25" s="15" t="s">
        <v>4</v>
      </c>
    </row>
    <row r="26" customFormat="false" ht="23.85" hidden="false" customHeight="false" outlineLevel="0" collapsed="false">
      <c r="A26" s="18" t="s">
        <v>212</v>
      </c>
      <c r="B26" s="19" t="s">
        <v>213</v>
      </c>
      <c r="C26" s="19" t="s">
        <v>214</v>
      </c>
      <c r="D26" s="22" t="s">
        <v>185</v>
      </c>
      <c r="E26" s="19" t="s">
        <v>215</v>
      </c>
      <c r="F26" s="19" t="s">
        <v>216</v>
      </c>
      <c r="G26" s="19" t="s">
        <v>217</v>
      </c>
      <c r="H26" s="19" t="s">
        <v>218</v>
      </c>
      <c r="I26" s="18" t="s">
        <v>46</v>
      </c>
      <c r="J26" s="18" t="s">
        <v>47</v>
      </c>
      <c r="K26" s="18" t="s">
        <v>100</v>
      </c>
      <c r="L26" s="18" t="s">
        <v>4</v>
      </c>
    </row>
  </sheetData>
  <autoFilter ref="A4:L26"/>
  <mergeCells count="1">
    <mergeCell ref="A1:L1"/>
  </mergeCells>
  <dataValidations count="1">
    <dataValidation allowBlank="true" errorStyle="stop" operator="between" showDropDown="false" showErrorMessage="false" showInputMessage="false" sqref="L5:L26" type="list">
      <formula1>"Open,In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3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false" outlineLevel="0" collapsed="false">
      <c r="A2" s="2" t="s">
        <v>26</v>
      </c>
    </row>
    <row r="4" customFormat="false" ht="23.85" hidden="false" customHeight="false" outlineLevel="0" collapsed="false">
      <c r="A4" s="14" t="s">
        <v>220</v>
      </c>
      <c r="B4" s="14" t="s">
        <v>221</v>
      </c>
      <c r="C4" s="14" t="s">
        <v>222</v>
      </c>
      <c r="D4" s="14" t="s">
        <v>223</v>
      </c>
      <c r="E4" s="14" t="s">
        <v>224</v>
      </c>
      <c r="F4" s="14" t="s">
        <v>35</v>
      </c>
      <c r="G4" s="14" t="s">
        <v>36</v>
      </c>
      <c r="H4" s="14" t="s">
        <v>225</v>
      </c>
      <c r="I4" s="14" t="s">
        <v>226</v>
      </c>
      <c r="J4" s="14" t="s">
        <v>38</v>
      </c>
    </row>
    <row r="5" customFormat="false" ht="35.05" hidden="false" customHeight="false" outlineLevel="0" collapsed="false">
      <c r="A5" s="15" t="s">
        <v>227</v>
      </c>
      <c r="B5" s="16" t="s">
        <v>228</v>
      </c>
      <c r="C5" s="16" t="s">
        <v>229</v>
      </c>
      <c r="D5" s="16" t="s">
        <v>230</v>
      </c>
      <c r="E5" s="15" t="s">
        <v>13</v>
      </c>
      <c r="F5" s="15" t="s">
        <v>46</v>
      </c>
      <c r="G5" s="16" t="s">
        <v>231</v>
      </c>
      <c r="H5" s="15" t="s">
        <v>92</v>
      </c>
      <c r="I5" s="15" t="s">
        <v>56</v>
      </c>
      <c r="J5" s="15" t="s">
        <v>4</v>
      </c>
    </row>
    <row r="6" customFormat="false" ht="23.85" hidden="false" customHeight="false" outlineLevel="0" collapsed="false">
      <c r="A6" s="18" t="s">
        <v>232</v>
      </c>
      <c r="B6" s="19" t="s">
        <v>233</v>
      </c>
      <c r="C6" s="19" t="s">
        <v>234</v>
      </c>
      <c r="D6" s="19" t="s">
        <v>235</v>
      </c>
      <c r="E6" s="18" t="s">
        <v>13</v>
      </c>
      <c r="F6" s="18" t="s">
        <v>46</v>
      </c>
      <c r="G6" s="19" t="s">
        <v>47</v>
      </c>
      <c r="H6" s="18" t="s">
        <v>92</v>
      </c>
      <c r="I6" s="18" t="s">
        <v>39</v>
      </c>
      <c r="J6" s="18" t="s">
        <v>4</v>
      </c>
    </row>
    <row r="7" customFormat="false" ht="23.85" hidden="false" customHeight="false" outlineLevel="0" collapsed="false">
      <c r="A7" s="15" t="s">
        <v>236</v>
      </c>
      <c r="B7" s="16" t="s">
        <v>237</v>
      </c>
      <c r="C7" s="16" t="s">
        <v>238</v>
      </c>
      <c r="D7" s="16" t="s">
        <v>239</v>
      </c>
      <c r="E7" s="15" t="s">
        <v>13</v>
      </c>
      <c r="F7" s="15" t="s">
        <v>46</v>
      </c>
      <c r="G7" s="16" t="s">
        <v>47</v>
      </c>
      <c r="H7" s="15" t="s">
        <v>92</v>
      </c>
      <c r="I7" s="15" t="s">
        <v>49</v>
      </c>
      <c r="J7" s="15" t="s">
        <v>4</v>
      </c>
    </row>
    <row r="8" customFormat="false" ht="23.85" hidden="false" customHeight="false" outlineLevel="0" collapsed="false">
      <c r="A8" s="18" t="s">
        <v>240</v>
      </c>
      <c r="B8" s="19" t="s">
        <v>241</v>
      </c>
      <c r="C8" s="19" t="s">
        <v>242</v>
      </c>
      <c r="D8" s="19" t="s">
        <v>243</v>
      </c>
      <c r="E8" s="18" t="s">
        <v>13</v>
      </c>
      <c r="F8" s="18" t="s">
        <v>46</v>
      </c>
      <c r="G8" s="19" t="s">
        <v>47</v>
      </c>
      <c r="H8" s="18" t="s">
        <v>92</v>
      </c>
      <c r="I8" s="18" t="s">
        <v>84</v>
      </c>
      <c r="J8" s="18" t="s">
        <v>4</v>
      </c>
    </row>
    <row r="9" customFormat="false" ht="23.85" hidden="false" customHeight="false" outlineLevel="0" collapsed="false">
      <c r="A9" s="15" t="s">
        <v>244</v>
      </c>
      <c r="B9" s="16" t="s">
        <v>245</v>
      </c>
      <c r="C9" s="16" t="s">
        <v>246</v>
      </c>
      <c r="D9" s="16" t="s">
        <v>247</v>
      </c>
      <c r="E9" s="15" t="s">
        <v>13</v>
      </c>
      <c r="F9" s="15" t="s">
        <v>46</v>
      </c>
      <c r="G9" s="16" t="s">
        <v>47</v>
      </c>
      <c r="H9" s="15" t="s">
        <v>92</v>
      </c>
      <c r="I9" s="15" t="s">
        <v>142</v>
      </c>
      <c r="J9" s="15" t="s">
        <v>4</v>
      </c>
    </row>
    <row r="10" customFormat="false" ht="23.85" hidden="false" customHeight="false" outlineLevel="0" collapsed="false">
      <c r="A10" s="18" t="s">
        <v>248</v>
      </c>
      <c r="B10" s="19" t="s">
        <v>249</v>
      </c>
      <c r="C10" s="19" t="s">
        <v>250</v>
      </c>
      <c r="D10" s="19" t="s">
        <v>251</v>
      </c>
      <c r="E10" s="18" t="s">
        <v>252</v>
      </c>
      <c r="F10" s="18" t="s">
        <v>72</v>
      </c>
      <c r="G10" s="19" t="s">
        <v>47</v>
      </c>
      <c r="H10" s="18" t="s">
        <v>253</v>
      </c>
      <c r="I10" s="18" t="s">
        <v>75</v>
      </c>
      <c r="J10" s="18" t="s">
        <v>4</v>
      </c>
    </row>
    <row r="11" customFormat="false" ht="35.05" hidden="false" customHeight="false" outlineLevel="0" collapsed="false">
      <c r="A11" s="15" t="s">
        <v>254</v>
      </c>
      <c r="B11" s="16" t="s">
        <v>255</v>
      </c>
      <c r="C11" s="16" t="s">
        <v>256</v>
      </c>
      <c r="D11" s="16" t="s">
        <v>257</v>
      </c>
      <c r="E11" s="15" t="s">
        <v>13</v>
      </c>
      <c r="F11" s="15" t="s">
        <v>46</v>
      </c>
      <c r="G11" s="16" t="s">
        <v>258</v>
      </c>
      <c r="H11" s="15" t="s">
        <v>92</v>
      </c>
      <c r="I11" s="15" t="s">
        <v>75</v>
      </c>
      <c r="J11" s="15" t="s">
        <v>4</v>
      </c>
    </row>
    <row r="12" customFormat="false" ht="23.85" hidden="false" customHeight="false" outlineLevel="0" collapsed="false">
      <c r="A12" s="18" t="s">
        <v>259</v>
      </c>
      <c r="B12" s="19" t="s">
        <v>260</v>
      </c>
      <c r="C12" s="19" t="s">
        <v>261</v>
      </c>
      <c r="D12" s="19" t="s">
        <v>262</v>
      </c>
      <c r="E12" s="18" t="s">
        <v>14</v>
      </c>
      <c r="F12" s="18" t="s">
        <v>72</v>
      </c>
      <c r="G12" s="19" t="s">
        <v>109</v>
      </c>
      <c r="H12" s="18" t="s">
        <v>124</v>
      </c>
      <c r="I12" s="18" t="s">
        <v>64</v>
      </c>
      <c r="J12" s="18" t="s">
        <v>4</v>
      </c>
    </row>
    <row r="13" customFormat="false" ht="35.05" hidden="false" customHeight="false" outlineLevel="0" collapsed="false">
      <c r="A13" s="15" t="s">
        <v>263</v>
      </c>
      <c r="B13" s="16" t="s">
        <v>264</v>
      </c>
      <c r="C13" s="16" t="s">
        <v>265</v>
      </c>
      <c r="D13" s="16" t="s">
        <v>266</v>
      </c>
      <c r="E13" s="15" t="s">
        <v>14</v>
      </c>
      <c r="F13" s="15" t="s">
        <v>46</v>
      </c>
      <c r="G13" s="16" t="s">
        <v>47</v>
      </c>
      <c r="H13" s="15" t="s">
        <v>124</v>
      </c>
      <c r="I13" s="15" t="s">
        <v>75</v>
      </c>
      <c r="J13" s="15" t="s">
        <v>4</v>
      </c>
    </row>
    <row r="14" customFormat="false" ht="35.05" hidden="false" customHeight="false" outlineLevel="0" collapsed="false">
      <c r="A14" s="18" t="s">
        <v>267</v>
      </c>
      <c r="B14" s="19" t="s">
        <v>268</v>
      </c>
      <c r="C14" s="19" t="s">
        <v>269</v>
      </c>
      <c r="D14" s="19" t="s">
        <v>270</v>
      </c>
      <c r="E14" s="18" t="s">
        <v>14</v>
      </c>
      <c r="F14" s="18" t="s">
        <v>46</v>
      </c>
      <c r="G14" s="19" t="s">
        <v>47</v>
      </c>
      <c r="H14" s="18" t="s">
        <v>124</v>
      </c>
      <c r="I14" s="18" t="s">
        <v>117</v>
      </c>
      <c r="J14" s="18" t="s">
        <v>4</v>
      </c>
    </row>
    <row r="15" customFormat="false" ht="23.85" hidden="false" customHeight="false" outlineLevel="0" collapsed="false">
      <c r="A15" s="15" t="s">
        <v>271</v>
      </c>
      <c r="B15" s="16" t="s">
        <v>272</v>
      </c>
      <c r="C15" s="16" t="s">
        <v>273</v>
      </c>
      <c r="D15" s="16" t="s">
        <v>274</v>
      </c>
      <c r="E15" s="15" t="s">
        <v>14</v>
      </c>
      <c r="F15" s="15" t="s">
        <v>46</v>
      </c>
      <c r="G15" s="16" t="s">
        <v>47</v>
      </c>
      <c r="H15" s="15" t="s">
        <v>124</v>
      </c>
      <c r="I15" s="15" t="s">
        <v>125</v>
      </c>
      <c r="J15" s="15" t="s">
        <v>4</v>
      </c>
    </row>
    <row r="16" customFormat="false" ht="46.25" hidden="false" customHeight="false" outlineLevel="0" collapsed="false">
      <c r="A16" s="18" t="s">
        <v>275</v>
      </c>
      <c r="B16" s="19" t="s">
        <v>276</v>
      </c>
      <c r="C16" s="19" t="s">
        <v>277</v>
      </c>
      <c r="D16" s="19" t="s">
        <v>278</v>
      </c>
      <c r="E16" s="18" t="s">
        <v>14</v>
      </c>
      <c r="F16" s="18" t="s">
        <v>99</v>
      </c>
      <c r="G16" s="19" t="s">
        <v>47</v>
      </c>
      <c r="H16" s="18" t="s">
        <v>124</v>
      </c>
      <c r="I16" s="18" t="s">
        <v>198</v>
      </c>
      <c r="J16" s="18" t="s">
        <v>4</v>
      </c>
    </row>
    <row r="17" customFormat="false" ht="46.25" hidden="false" customHeight="false" outlineLevel="0" collapsed="false">
      <c r="A17" s="15" t="s">
        <v>279</v>
      </c>
      <c r="B17" s="16" t="s">
        <v>280</v>
      </c>
      <c r="C17" s="16" t="s">
        <v>281</v>
      </c>
      <c r="D17" s="16" t="s">
        <v>282</v>
      </c>
      <c r="E17" s="15" t="s">
        <v>283</v>
      </c>
      <c r="F17" s="15" t="s">
        <v>72</v>
      </c>
      <c r="G17" s="16" t="s">
        <v>47</v>
      </c>
      <c r="H17" s="15" t="s">
        <v>284</v>
      </c>
      <c r="I17" s="15" t="s">
        <v>149</v>
      </c>
      <c r="J17" s="15" t="s">
        <v>4</v>
      </c>
    </row>
    <row r="18" customFormat="false" ht="35.05" hidden="false" customHeight="false" outlineLevel="0" collapsed="false">
      <c r="A18" s="18" t="s">
        <v>285</v>
      </c>
      <c r="B18" s="19" t="s">
        <v>286</v>
      </c>
      <c r="C18" s="19" t="s">
        <v>287</v>
      </c>
      <c r="D18" s="19" t="s">
        <v>288</v>
      </c>
      <c r="E18" s="18" t="s">
        <v>15</v>
      </c>
      <c r="F18" s="18" t="s">
        <v>108</v>
      </c>
      <c r="G18" s="19" t="s">
        <v>109</v>
      </c>
      <c r="H18" s="18" t="s">
        <v>100</v>
      </c>
      <c r="I18" s="18" t="s">
        <v>289</v>
      </c>
      <c r="J18" s="18" t="s">
        <v>4</v>
      </c>
    </row>
    <row r="19" customFormat="false" ht="23.85" hidden="false" customHeight="false" outlineLevel="0" collapsed="false">
      <c r="A19" s="15" t="s">
        <v>290</v>
      </c>
      <c r="B19" s="16" t="s">
        <v>291</v>
      </c>
      <c r="C19" s="16" t="s">
        <v>292</v>
      </c>
      <c r="D19" s="16" t="s">
        <v>293</v>
      </c>
      <c r="E19" s="15" t="s">
        <v>15</v>
      </c>
      <c r="F19" s="15" t="s">
        <v>108</v>
      </c>
      <c r="G19" s="16" t="s">
        <v>109</v>
      </c>
      <c r="H19" s="15" t="s">
        <v>100</v>
      </c>
      <c r="I19" s="15" t="s">
        <v>101</v>
      </c>
      <c r="J19" s="15" t="s">
        <v>4</v>
      </c>
    </row>
    <row r="20" customFormat="false" ht="23.85" hidden="false" customHeight="false" outlineLevel="0" collapsed="false">
      <c r="A20" s="18" t="s">
        <v>294</v>
      </c>
      <c r="B20" s="19" t="s">
        <v>295</v>
      </c>
      <c r="C20" s="19" t="s">
        <v>296</v>
      </c>
      <c r="D20" s="19" t="s">
        <v>297</v>
      </c>
      <c r="E20" s="18" t="s">
        <v>15</v>
      </c>
      <c r="F20" s="18" t="s">
        <v>46</v>
      </c>
      <c r="G20" s="19" t="s">
        <v>47</v>
      </c>
      <c r="H20" s="18" t="s">
        <v>100</v>
      </c>
      <c r="I20" s="18" t="s">
        <v>101</v>
      </c>
      <c r="J20" s="18" t="s">
        <v>4</v>
      </c>
    </row>
    <row r="21" customFormat="false" ht="23.85" hidden="false" customHeight="false" outlineLevel="0" collapsed="false">
      <c r="A21" s="15" t="s">
        <v>298</v>
      </c>
      <c r="B21" s="16" t="s">
        <v>299</v>
      </c>
      <c r="C21" s="16" t="s">
        <v>300</v>
      </c>
      <c r="D21" s="16" t="s">
        <v>301</v>
      </c>
      <c r="E21" s="15" t="s">
        <v>15</v>
      </c>
      <c r="F21" s="15" t="s">
        <v>99</v>
      </c>
      <c r="G21" s="16" t="s">
        <v>47</v>
      </c>
      <c r="H21" s="15" t="s">
        <v>100</v>
      </c>
      <c r="I21" s="15" t="s">
        <v>93</v>
      </c>
      <c r="J21" s="15" t="s">
        <v>4</v>
      </c>
    </row>
    <row r="22" customFormat="false" ht="35.05" hidden="false" customHeight="false" outlineLevel="0" collapsed="false">
      <c r="A22" s="18" t="s">
        <v>302</v>
      </c>
      <c r="B22" s="19" t="s">
        <v>303</v>
      </c>
      <c r="C22" s="19" t="s">
        <v>304</v>
      </c>
      <c r="D22" s="19" t="s">
        <v>305</v>
      </c>
      <c r="E22" s="18" t="s">
        <v>15</v>
      </c>
      <c r="F22" s="18" t="s">
        <v>306</v>
      </c>
      <c r="G22" s="19" t="s">
        <v>307</v>
      </c>
      <c r="H22" s="18" t="s">
        <v>100</v>
      </c>
      <c r="I22" s="18" t="s">
        <v>110</v>
      </c>
      <c r="J22" s="18" t="s">
        <v>4</v>
      </c>
    </row>
    <row r="23" customFormat="false" ht="23.85" hidden="false" customHeight="false" outlineLevel="0" collapsed="false">
      <c r="A23" s="15" t="s">
        <v>308</v>
      </c>
      <c r="B23" s="16" t="s">
        <v>309</v>
      </c>
      <c r="C23" s="16" t="s">
        <v>310</v>
      </c>
      <c r="D23" s="16" t="s">
        <v>311</v>
      </c>
      <c r="E23" s="15" t="s">
        <v>15</v>
      </c>
      <c r="F23" s="15" t="s">
        <v>46</v>
      </c>
      <c r="G23" s="16" t="s">
        <v>47</v>
      </c>
      <c r="H23" s="15" t="s">
        <v>100</v>
      </c>
      <c r="I23" s="15" t="s">
        <v>212</v>
      </c>
      <c r="J23" s="15" t="s">
        <v>4</v>
      </c>
    </row>
    <row r="24" customFormat="false" ht="23.85" hidden="false" customHeight="false" outlineLevel="0" collapsed="false">
      <c r="A24" s="18" t="s">
        <v>312</v>
      </c>
      <c r="B24" s="19" t="s">
        <v>313</v>
      </c>
      <c r="C24" s="19" t="s">
        <v>314</v>
      </c>
      <c r="D24" s="19" t="s">
        <v>315</v>
      </c>
      <c r="E24" s="18" t="s">
        <v>316</v>
      </c>
      <c r="F24" s="18" t="s">
        <v>72</v>
      </c>
      <c r="G24" s="19" t="s">
        <v>165</v>
      </c>
      <c r="H24" s="18" t="s">
        <v>141</v>
      </c>
      <c r="I24" s="18" t="s">
        <v>157</v>
      </c>
      <c r="J24" s="18" t="s">
        <v>4</v>
      </c>
    </row>
    <row r="25" customFormat="false" ht="46.25" hidden="false" customHeight="false" outlineLevel="0" collapsed="false">
      <c r="A25" s="15" t="s">
        <v>317</v>
      </c>
      <c r="B25" s="16" t="s">
        <v>318</v>
      </c>
      <c r="C25" s="16" t="s">
        <v>319</v>
      </c>
      <c r="D25" s="16" t="s">
        <v>320</v>
      </c>
      <c r="E25" s="15" t="s">
        <v>16</v>
      </c>
      <c r="F25" s="15" t="s">
        <v>306</v>
      </c>
      <c r="G25" s="16" t="s">
        <v>321</v>
      </c>
      <c r="H25" s="15" t="s">
        <v>181</v>
      </c>
      <c r="I25" s="15" t="s">
        <v>322</v>
      </c>
      <c r="J25" s="15" t="s">
        <v>4</v>
      </c>
    </row>
    <row r="26" customFormat="false" ht="35.05" hidden="false" customHeight="false" outlineLevel="0" collapsed="false">
      <c r="A26" s="18" t="s">
        <v>323</v>
      </c>
      <c r="B26" s="19" t="s">
        <v>324</v>
      </c>
      <c r="C26" s="19" t="s">
        <v>325</v>
      </c>
      <c r="D26" s="19" t="s">
        <v>326</v>
      </c>
      <c r="E26" s="18" t="s">
        <v>16</v>
      </c>
      <c r="F26" s="18" t="s">
        <v>72</v>
      </c>
      <c r="G26" s="19" t="s">
        <v>165</v>
      </c>
      <c r="H26" s="18" t="s">
        <v>181</v>
      </c>
      <c r="I26" s="18" t="s">
        <v>327</v>
      </c>
      <c r="J26" s="18" t="s">
        <v>4</v>
      </c>
    </row>
  </sheetData>
  <autoFilter ref="A4:J26"/>
  <mergeCells count="1">
    <mergeCell ref="A1:J1"/>
  </mergeCells>
  <dataValidations count="1">
    <dataValidation allowBlank="true" errorStyle="stop" operator="between" showDropDown="false" showErrorMessage="false" showInputMessage="false" sqref="J5:J26" type="list">
      <formula1>"Open,In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56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3" t="s">
        <v>328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329</v>
      </c>
      <c r="B4" s="14" t="s">
        <v>330</v>
      </c>
      <c r="C4" s="14" t="s">
        <v>331</v>
      </c>
      <c r="D4" s="14" t="s">
        <v>332</v>
      </c>
      <c r="E4" s="14" t="s">
        <v>333</v>
      </c>
      <c r="F4" s="14" t="s">
        <v>334</v>
      </c>
    </row>
    <row r="5" customFormat="false" ht="46.25" hidden="false" customHeight="false" outlineLevel="0" collapsed="false">
      <c r="A5" s="16" t="s">
        <v>335</v>
      </c>
      <c r="B5" s="15" t="s">
        <v>92</v>
      </c>
      <c r="C5" s="16" t="s">
        <v>336</v>
      </c>
      <c r="D5" s="16" t="s">
        <v>337</v>
      </c>
      <c r="E5" s="15" t="s">
        <v>338</v>
      </c>
      <c r="F5" s="16" t="s">
        <v>339</v>
      </c>
    </row>
    <row r="6" customFormat="false" ht="57.45" hidden="false" customHeight="false" outlineLevel="0" collapsed="false">
      <c r="A6" s="19" t="s">
        <v>340</v>
      </c>
      <c r="B6" s="18" t="s">
        <v>124</v>
      </c>
      <c r="C6" s="19" t="s">
        <v>341</v>
      </c>
      <c r="D6" s="19" t="s">
        <v>342</v>
      </c>
      <c r="E6" s="18" t="s">
        <v>343</v>
      </c>
      <c r="F6" s="19" t="s">
        <v>344</v>
      </c>
    </row>
    <row r="7" customFormat="false" ht="35.05" hidden="false" customHeight="false" outlineLevel="0" collapsed="false">
      <c r="A7" s="16" t="s">
        <v>345</v>
      </c>
      <c r="B7" s="15" t="s">
        <v>100</v>
      </c>
      <c r="C7" s="16" t="s">
        <v>346</v>
      </c>
      <c r="D7" s="16" t="s">
        <v>347</v>
      </c>
      <c r="E7" s="15" t="s">
        <v>348</v>
      </c>
      <c r="F7" s="16" t="s">
        <v>349</v>
      </c>
    </row>
    <row r="8" customFormat="false" ht="57.45" hidden="false" customHeight="false" outlineLevel="0" collapsed="false">
      <c r="A8" s="19" t="s">
        <v>350</v>
      </c>
      <c r="B8" s="18" t="s">
        <v>181</v>
      </c>
      <c r="C8" s="19" t="s">
        <v>351</v>
      </c>
      <c r="D8" s="19" t="s">
        <v>352</v>
      </c>
      <c r="E8" s="18" t="s">
        <v>353</v>
      </c>
      <c r="F8" s="19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2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3" t="s">
        <v>355</v>
      </c>
      <c r="B1" s="13"/>
      <c r="C1" s="13"/>
      <c r="D1" s="13"/>
      <c r="E1" s="13"/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4" t="s">
        <v>356</v>
      </c>
      <c r="B4" s="14" t="s">
        <v>357</v>
      </c>
      <c r="C4" s="14" t="s">
        <v>358</v>
      </c>
      <c r="D4" s="14" t="s">
        <v>359</v>
      </c>
      <c r="E4" s="14" t="s">
        <v>38</v>
      </c>
    </row>
    <row r="5" customFormat="false" ht="15" hidden="false" customHeight="false" outlineLevel="0" collapsed="false">
      <c r="A5" s="15" t="s">
        <v>360</v>
      </c>
      <c r="B5" s="16" t="s">
        <v>361</v>
      </c>
      <c r="C5" s="15" t="s">
        <v>362</v>
      </c>
      <c r="D5" s="15" t="s">
        <v>47</v>
      </c>
      <c r="E5" s="15" t="s">
        <v>19</v>
      </c>
    </row>
    <row r="6" customFormat="false" ht="23.85" hidden="false" customHeight="false" outlineLevel="0" collapsed="false">
      <c r="A6" s="18" t="s">
        <v>360</v>
      </c>
      <c r="B6" s="19" t="s">
        <v>363</v>
      </c>
      <c r="C6" s="18" t="s">
        <v>362</v>
      </c>
      <c r="D6" s="18" t="s">
        <v>359</v>
      </c>
      <c r="E6" s="18" t="s">
        <v>19</v>
      </c>
    </row>
    <row r="7" customFormat="false" ht="15" hidden="false" customHeight="false" outlineLevel="0" collapsed="false">
      <c r="A7" s="15" t="s">
        <v>360</v>
      </c>
      <c r="B7" s="16" t="s">
        <v>364</v>
      </c>
      <c r="C7" s="15" t="s">
        <v>365</v>
      </c>
      <c r="D7" s="15" t="s">
        <v>47</v>
      </c>
      <c r="E7" s="15" t="s">
        <v>19</v>
      </c>
    </row>
    <row r="8" customFormat="false" ht="15" hidden="false" customHeight="false" outlineLevel="0" collapsed="false">
      <c r="A8" s="18" t="s">
        <v>360</v>
      </c>
      <c r="B8" s="19" t="s">
        <v>366</v>
      </c>
      <c r="C8" s="18" t="s">
        <v>365</v>
      </c>
      <c r="D8" s="18" t="s">
        <v>47</v>
      </c>
      <c r="E8" s="18" t="s">
        <v>19</v>
      </c>
    </row>
    <row r="9" customFormat="false" ht="15" hidden="false" customHeight="false" outlineLevel="0" collapsed="false">
      <c r="A9" s="15" t="s">
        <v>360</v>
      </c>
      <c r="B9" s="16" t="s">
        <v>367</v>
      </c>
      <c r="C9" s="15" t="s">
        <v>362</v>
      </c>
      <c r="D9" s="15" t="s">
        <v>47</v>
      </c>
      <c r="E9" s="15" t="s">
        <v>19</v>
      </c>
    </row>
    <row r="10" customFormat="false" ht="15" hidden="false" customHeight="false" outlineLevel="0" collapsed="false">
      <c r="A10" s="18" t="s">
        <v>360</v>
      </c>
      <c r="B10" s="19" t="s">
        <v>368</v>
      </c>
      <c r="C10" s="18" t="s">
        <v>100</v>
      </c>
      <c r="D10" s="18" t="s">
        <v>47</v>
      </c>
      <c r="E10" s="18" t="s">
        <v>19</v>
      </c>
    </row>
    <row r="11" customFormat="false" ht="15" hidden="false" customHeight="false" outlineLevel="0" collapsed="false">
      <c r="A11" s="15" t="s">
        <v>369</v>
      </c>
      <c r="B11" s="16" t="s">
        <v>370</v>
      </c>
      <c r="C11" s="15" t="s">
        <v>100</v>
      </c>
      <c r="D11" s="15" t="s">
        <v>47</v>
      </c>
      <c r="E11" s="15" t="s">
        <v>19</v>
      </c>
    </row>
    <row r="12" customFormat="false" ht="15" hidden="false" customHeight="false" outlineLevel="0" collapsed="false">
      <c r="A12" s="18" t="s">
        <v>369</v>
      </c>
      <c r="B12" s="19" t="s">
        <v>371</v>
      </c>
      <c r="C12" s="18" t="s">
        <v>100</v>
      </c>
      <c r="D12" s="18" t="s">
        <v>372</v>
      </c>
      <c r="E12" s="18" t="s">
        <v>19</v>
      </c>
    </row>
    <row r="13" customFormat="false" ht="15" hidden="false" customHeight="false" outlineLevel="0" collapsed="false">
      <c r="A13" s="15" t="s">
        <v>369</v>
      </c>
      <c r="B13" s="16" t="s">
        <v>373</v>
      </c>
      <c r="C13" s="15" t="s">
        <v>362</v>
      </c>
      <c r="D13" s="15" t="s">
        <v>359</v>
      </c>
      <c r="E13" s="15" t="s">
        <v>19</v>
      </c>
    </row>
    <row r="14" customFormat="false" ht="15" hidden="false" customHeight="false" outlineLevel="0" collapsed="false">
      <c r="A14" s="18" t="s">
        <v>369</v>
      </c>
      <c r="B14" s="19" t="s">
        <v>374</v>
      </c>
      <c r="C14" s="18" t="s">
        <v>365</v>
      </c>
      <c r="D14" s="18" t="s">
        <v>47</v>
      </c>
      <c r="E14" s="18" t="s">
        <v>19</v>
      </c>
    </row>
    <row r="15" customFormat="false" ht="15" hidden="false" customHeight="false" outlineLevel="0" collapsed="false">
      <c r="A15" s="15" t="s">
        <v>369</v>
      </c>
      <c r="B15" s="16" t="s">
        <v>375</v>
      </c>
      <c r="C15" s="15" t="s">
        <v>365</v>
      </c>
      <c r="D15" s="15" t="s">
        <v>372</v>
      </c>
      <c r="E15" s="15" t="s">
        <v>19</v>
      </c>
    </row>
    <row r="16" customFormat="false" ht="15" hidden="false" customHeight="false" outlineLevel="0" collapsed="false">
      <c r="A16" s="18" t="s">
        <v>376</v>
      </c>
      <c r="B16" s="19" t="s">
        <v>377</v>
      </c>
      <c r="C16" s="18" t="s">
        <v>362</v>
      </c>
      <c r="D16" s="18" t="s">
        <v>47</v>
      </c>
      <c r="E16" s="18" t="s">
        <v>19</v>
      </c>
    </row>
    <row r="17" customFormat="false" ht="15" hidden="false" customHeight="false" outlineLevel="0" collapsed="false">
      <c r="A17" s="15" t="s">
        <v>376</v>
      </c>
      <c r="B17" s="16" t="s">
        <v>378</v>
      </c>
      <c r="C17" s="15" t="s">
        <v>379</v>
      </c>
      <c r="D17" s="15" t="s">
        <v>47</v>
      </c>
      <c r="E17" s="15" t="s">
        <v>19</v>
      </c>
    </row>
    <row r="18" customFormat="false" ht="15" hidden="false" customHeight="false" outlineLevel="0" collapsed="false">
      <c r="A18" s="18" t="s">
        <v>376</v>
      </c>
      <c r="B18" s="19" t="s">
        <v>380</v>
      </c>
      <c r="C18" s="18" t="s">
        <v>100</v>
      </c>
      <c r="D18" s="18" t="s">
        <v>47</v>
      </c>
      <c r="E18" s="18" t="s">
        <v>19</v>
      </c>
    </row>
    <row r="19" customFormat="false" ht="15" hidden="false" customHeight="false" outlineLevel="0" collapsed="false">
      <c r="A19" s="15" t="s">
        <v>376</v>
      </c>
      <c r="B19" s="16" t="s">
        <v>381</v>
      </c>
      <c r="C19" s="15" t="s">
        <v>379</v>
      </c>
      <c r="D19" s="15" t="s">
        <v>47</v>
      </c>
      <c r="E19" s="15" t="s">
        <v>19</v>
      </c>
    </row>
    <row r="20" customFormat="false" ht="15" hidden="false" customHeight="false" outlineLevel="0" collapsed="false">
      <c r="A20" s="18" t="s">
        <v>151</v>
      </c>
      <c r="B20" s="19" t="s">
        <v>382</v>
      </c>
      <c r="C20" s="18" t="s">
        <v>362</v>
      </c>
      <c r="D20" s="18" t="s">
        <v>47</v>
      </c>
      <c r="E20" s="18" t="s">
        <v>19</v>
      </c>
    </row>
    <row r="21" customFormat="false" ht="15" hidden="false" customHeight="false" outlineLevel="0" collapsed="false">
      <c r="A21" s="15" t="s">
        <v>151</v>
      </c>
      <c r="B21" s="16" t="s">
        <v>383</v>
      </c>
      <c r="C21" s="15" t="s">
        <v>100</v>
      </c>
      <c r="D21" s="15" t="s">
        <v>47</v>
      </c>
      <c r="E21" s="15" t="s">
        <v>19</v>
      </c>
    </row>
    <row r="22" customFormat="false" ht="15" hidden="false" customHeight="false" outlineLevel="0" collapsed="false">
      <c r="A22" s="18" t="s">
        <v>151</v>
      </c>
      <c r="B22" s="19" t="s">
        <v>384</v>
      </c>
      <c r="C22" s="18" t="s">
        <v>181</v>
      </c>
      <c r="D22" s="18" t="s">
        <v>47</v>
      </c>
      <c r="E22" s="18" t="s">
        <v>19</v>
      </c>
    </row>
    <row r="23" customFormat="false" ht="15" hidden="false" customHeight="false" outlineLevel="0" collapsed="false">
      <c r="A23" s="15" t="s">
        <v>385</v>
      </c>
      <c r="B23" s="16" t="s">
        <v>386</v>
      </c>
      <c r="C23" s="15" t="s">
        <v>362</v>
      </c>
      <c r="D23" s="15" t="s">
        <v>47</v>
      </c>
      <c r="E23" s="15" t="s">
        <v>19</v>
      </c>
    </row>
    <row r="24" customFormat="false" ht="15" hidden="false" customHeight="false" outlineLevel="0" collapsed="false">
      <c r="A24" s="18" t="s">
        <v>385</v>
      </c>
      <c r="B24" s="19" t="s">
        <v>387</v>
      </c>
      <c r="C24" s="18" t="s">
        <v>362</v>
      </c>
      <c r="D24" s="18" t="s">
        <v>47</v>
      </c>
      <c r="E24" s="18" t="s">
        <v>19</v>
      </c>
    </row>
    <row r="25" customFormat="false" ht="15" hidden="false" customHeight="false" outlineLevel="0" collapsed="false">
      <c r="A25" s="15" t="s">
        <v>385</v>
      </c>
      <c r="B25" s="16" t="s">
        <v>388</v>
      </c>
      <c r="C25" s="15" t="s">
        <v>362</v>
      </c>
      <c r="D25" s="15" t="s">
        <v>359</v>
      </c>
      <c r="E25" s="15" t="s">
        <v>19</v>
      </c>
    </row>
    <row r="26" customFormat="false" ht="15" hidden="false" customHeight="false" outlineLevel="0" collapsed="false">
      <c r="A26" s="18" t="s">
        <v>389</v>
      </c>
      <c r="B26" s="19" t="s">
        <v>390</v>
      </c>
      <c r="C26" s="18" t="s">
        <v>379</v>
      </c>
      <c r="D26" s="18" t="s">
        <v>47</v>
      </c>
      <c r="E26" s="18" t="s">
        <v>19</v>
      </c>
    </row>
    <row r="27" customFormat="false" ht="15" hidden="false" customHeight="false" outlineLevel="0" collapsed="false">
      <c r="A27" s="15" t="s">
        <v>389</v>
      </c>
      <c r="B27" s="16" t="s">
        <v>391</v>
      </c>
      <c r="C27" s="15" t="s">
        <v>379</v>
      </c>
      <c r="D27" s="15" t="s">
        <v>47</v>
      </c>
      <c r="E27" s="15" t="s">
        <v>19</v>
      </c>
    </row>
    <row r="28" customFormat="false" ht="15" hidden="false" customHeight="false" outlineLevel="0" collapsed="false">
      <c r="A28" s="18" t="s">
        <v>389</v>
      </c>
      <c r="B28" s="19" t="s">
        <v>392</v>
      </c>
      <c r="C28" s="18" t="s">
        <v>379</v>
      </c>
      <c r="D28" s="18" t="s">
        <v>47</v>
      </c>
      <c r="E28" s="18" t="s">
        <v>19</v>
      </c>
    </row>
    <row r="29" customFormat="false" ht="15" hidden="false" customHeight="false" outlineLevel="0" collapsed="false">
      <c r="A29" s="15" t="s">
        <v>389</v>
      </c>
      <c r="B29" s="16" t="s">
        <v>393</v>
      </c>
      <c r="C29" s="15" t="s">
        <v>379</v>
      </c>
      <c r="D29" s="15" t="s">
        <v>47</v>
      </c>
      <c r="E29" s="15" t="s">
        <v>19</v>
      </c>
    </row>
    <row r="30" customFormat="false" ht="15" hidden="false" customHeight="false" outlineLevel="0" collapsed="false">
      <c r="A30" s="18" t="s">
        <v>394</v>
      </c>
      <c r="B30" s="19" t="s">
        <v>395</v>
      </c>
      <c r="C30" s="18" t="s">
        <v>365</v>
      </c>
      <c r="D30" s="18" t="s">
        <v>47</v>
      </c>
      <c r="E30" s="18" t="s">
        <v>19</v>
      </c>
    </row>
    <row r="31" customFormat="false" ht="15" hidden="false" customHeight="false" outlineLevel="0" collapsed="false">
      <c r="A31" s="15" t="s">
        <v>394</v>
      </c>
      <c r="B31" s="16" t="s">
        <v>396</v>
      </c>
      <c r="C31" s="15" t="s">
        <v>365</v>
      </c>
      <c r="D31" s="15" t="s">
        <v>372</v>
      </c>
      <c r="E31" s="15" t="s">
        <v>19</v>
      </c>
    </row>
    <row r="32" customFormat="false" ht="15" hidden="false" customHeight="false" outlineLevel="0" collapsed="false">
      <c r="A32" s="18" t="s">
        <v>394</v>
      </c>
      <c r="B32" s="19" t="s">
        <v>397</v>
      </c>
      <c r="C32" s="18" t="s">
        <v>365</v>
      </c>
      <c r="D32" s="18" t="s">
        <v>398</v>
      </c>
      <c r="E32" s="18" t="s">
        <v>19</v>
      </c>
    </row>
    <row r="33" customFormat="false" ht="15" hidden="false" customHeight="false" outlineLevel="0" collapsed="false">
      <c r="A33" s="15" t="s">
        <v>394</v>
      </c>
      <c r="B33" s="16" t="s">
        <v>399</v>
      </c>
      <c r="C33" s="15" t="s">
        <v>365</v>
      </c>
      <c r="D33" s="15" t="s">
        <v>359</v>
      </c>
      <c r="E33" s="15" t="s">
        <v>19</v>
      </c>
    </row>
  </sheetData>
  <autoFilter ref="A4:E33"/>
  <mergeCells count="1">
    <mergeCell ref="A1:E1"/>
  </mergeCells>
  <dataValidations count="1">
    <dataValidation allowBlank="true" errorStyle="stop" operator="between" showDropDown="false" showErrorMessage="false" showInputMessage="false" sqref="E5:E33" type="list">
      <formula1>"TODO,In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2026-07-08T11:38:43Z</dcterms:created>
  <dc:creator>openpyxl</dc:creator>
  <dc:description/>
  <dc:language>en-US</dc:language>
  <cp:lastModifiedBy/>
  <dcterms:modified xsi:type="dcterms:W3CDTF">2026-07-08T11:38:43Z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